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here we are" sheetId="2" state="visible" r:id="rId2"/>
    <sheet name="Summary" sheetId="3" state="visible" r:id="rId3"/>
    <sheet name="Journeys" sheetId="4" state="visible" r:id="rId4"/>
    <sheet name="Features" sheetId="5" state="visible" r:id="rId5"/>
    <sheet name="Permissions" sheetId="6" state="visible" r:id="rId6"/>
    <sheet name="Cross-cutting" sheetId="7" state="visible" r:id="rId7"/>
  </sheets>
  <definedNames>
    <definedName name="_xlnm._FilterDatabase" localSheetId="3" hidden="1">'Journeys'!$A$1:$N$36</definedName>
    <definedName name="_xlnm._FilterDatabase" localSheetId="4" hidden="1">'Features'!$A$1:$N$40</definedName>
    <definedName name="_xlnm._FilterDatabase" localSheetId="5" hidden="1">'Permissions'!$A$1:$N$16</definedName>
    <definedName name="_xlnm._FilterDatabase" localSheetId="6" hidden="1">'Cross-cutting'!$A$1:$N$14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HolyPearls end-to-end manual QA matrix</t>
        </is>
      </c>
      <c r="B1" t="inlineStr"/>
    </row>
    <row r="2">
      <c r="A2" s="2" t="inlineStr">
        <is>
          <t>Generated</t>
        </is>
      </c>
      <c r="B2" s="3" t="inlineStr">
        <is>
          <t>2026-10-28, from dev at 1ad966e</t>
        </is>
      </c>
    </row>
    <row r="3">
      <c r="A3" s="2" t="inlineStr">
        <is>
          <t>Staging web</t>
        </is>
      </c>
      <c r="B3" s="3" t="inlineStr">
        <is>
          <t>https://holypearls-git-dev-holyworths-projects.vercel.app</t>
        </is>
      </c>
    </row>
    <row r="4">
      <c r="A4" s="2" t="inlineStr">
        <is>
          <t>Staging admin</t>
        </is>
      </c>
      <c r="B4" s="3" t="inlineStr">
        <is>
          <t>https://holypearls-admin-git-dev-holyworths-projects.vercel.app</t>
        </is>
      </c>
    </row>
    <row r="5">
      <c r="A5" s="2" t="inlineStr">
        <is>
          <t>Staging API</t>
        </is>
      </c>
      <c r="B5" s="3" t="inlineStr">
        <is>
          <t>https://holypearls-api-staging.onrender.com</t>
        </is>
      </c>
    </row>
    <row r="6">
      <c r="A6" s="2" t="inlineStr">
        <is>
          <t>Access</t>
        </is>
      </c>
      <c r="B6" s="3" t="inlineStr">
        <is>
          <t>Vercel login required for staging previews. Render free tier may cold-start (~1 min).</t>
        </is>
      </c>
    </row>
    <row r="7">
      <c r="A7" s="2" t="inlineStr">
        <is>
          <t>Test personas</t>
        </is>
      </c>
      <c r="B7" s="3" t="inlineStr">
        <is>
          <t>TEST DATA people in packages/auth/src/test-people.ts (emails *@holypearls.test, passwords and MFA secrets in that file). Staff: Ada (all permissions), Tunde (STAFF_ADMIN), Folake (PAYMENT_VIEW), Kemi (CATALOGUE_MANAGE). Customers: Chidi, Amaka. ACME org: Ngozi Owner, Bola Admin, Tunde Buyer, Adaeze Location Manager (Lekki), Kemi Approver, Sam Viewer.</t>
        </is>
      </c>
    </row>
    <row r="8">
      <c r="A8" s="2" t="inlineStr">
        <is>
          <t>Paystack test card</t>
        </is>
      </c>
      <c r="B8" s="3" t="inlineStr">
        <is>
          <t>4084 0840 8408 4081, any future expiry, CVV 408, PIN 0000, OTP 123456 (Paystack's published test card; staging uses sk_test_).</t>
        </is>
      </c>
    </row>
    <row r="9">
      <c r="A9" s="2" t="inlineStr">
        <is>
          <t>Email</t>
        </is>
      </c>
      <c r="B9" s="3" t="inlineStr">
        <is>
          <t>Resend can only send to the owner's address until a sending domain is verified (ATTENTION #4). Use that inbox for guest/customer email checks, or local Mailpit.</t>
        </is>
      </c>
    </row>
    <row r="10">
      <c r="A10" s="2" t="inlineStr">
        <is>
          <t>Known limits</t>
        </is>
      </c>
      <c r="B10" s="3" t="inlineStr">
        <is>
          <t>Prices, delivery zones and garment decoration costs are illustrative TEST DATA. Custom large-format sizes always go to quote. Shipbubble needs its staging key.</t>
        </is>
      </c>
    </row>
    <row r="11">
      <c r="A11" s="2" t="inlineStr">
        <is>
          <t>How to use</t>
        </is>
      </c>
      <c r="B11" s="3" t="inlineStr">
        <is>
          <t>Run P0 rows first. Set Result per row (Not run / Pass / Fail / Blocked / N/A), add tester, date and a bug link. Viewport '375 + 1440' means check both. The Summary sheet counts results.</t>
        </is>
      </c>
    </row>
    <row r="12">
      <c r="A12" s="2" t="inlineStr">
        <is>
          <t>Order</t>
        </is>
      </c>
      <c r="B12" s="3" t="inlineStr">
        <is>
          <t>1) Permissions &amp; Cross-cutting P0  2) Journeys J01–J16 in order (later ones reuse earlier data)  3) Features  4) P1/P2.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4" t="inlineStr">
        <is>
          <t>Bucket</t>
        </is>
      </c>
      <c r="B1" s="4" t="inlineStr">
        <is>
          <t>Detail</t>
        </is>
      </c>
    </row>
    <row r="2">
      <c r="A2" s="3" t="inlineStr">
        <is>
          <t>Done (62 of 65)</t>
        </is>
      </c>
      <c r="B2" s="3" t="inlineStr">
        <is>
          <t>Every PRD flow: platform, catalogue, configurators, checkout, Paystack, orders, projects/quotes, proofs, production, shipments + Shipbubble, accounts, workspaces, assets/templates, approvals, groups, company store, allowances, business rules, ops home, exports, refunds, staff admin, structured data, search quality, accessibility, attack suite, payment stress + NDPA, audit remediation.</t>
        </is>
      </c>
    </row>
    <row r="3">
      <c r="A3" s="3" t="inlineStr">
        <is>
          <t>Blocked on owner</t>
        </is>
      </c>
      <c r="B3" s="3" t="inlineStr">
        <is>
          <t>T15-05 monitoring/runbooks is merged (#127); its Done-when needs the owner's staging switch test and restore rehearsal with timings.</t>
        </is>
      </c>
    </row>
    <row r="4">
      <c r="A4" s="3" t="inlineStr">
        <is>
          <t>Not started</t>
        </is>
      </c>
      <c r="B4" s="3" t="inlineStr">
        <is>
          <t>T14-05 performance + visual regression suite; T15-07 automated cross-flow journeys 1–16 (this manual matrix covers the same journeys until then).</t>
        </is>
      </c>
    </row>
    <row r="5">
      <c r="A5" s="3" t="inlineStr">
        <is>
          <t>Open PRs</t>
        </is>
      </c>
      <c r="B5" s="3" t="inlineStr">
        <is>
          <t>#138 favicon (this branch); #139, #140 dependabot bumps.</t>
        </is>
      </c>
    </row>
    <row r="6">
      <c r="A6" s="3" t="inlineStr">
        <is>
          <t>Release</t>
        </is>
      </c>
      <c r="B6" s="3" t="inlineStr">
        <is>
          <t>main is ~451 commits behind dev; production last released long ago. Next release blocked on owner items: R2 buckets (ATTENTION #3), DB roles (#8, #12b), email domain (#4), Paystack live (#25).</t>
        </is>
      </c>
    </row>
    <row r="7">
      <c r="A7" s="3" t="inlineStr">
        <is>
          <t>Owner-only checks</t>
        </is>
      </c>
      <c r="B7" s="3" t="inlineStr">
        <is>
          <t>T15-05 staging switch test and restore rehearsal; ATTENTION #30 hold reasons / balance timing confirmation; real prices (#13, #17, #22).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Sheet</t>
        </is>
      </c>
      <c r="B1" s="4" t="inlineStr">
        <is>
          <t>Rows</t>
        </is>
      </c>
      <c r="C1" s="4" t="inlineStr">
        <is>
          <t>P0</t>
        </is>
      </c>
      <c r="D1" s="4" t="inlineStr">
        <is>
          <t>Pass</t>
        </is>
      </c>
      <c r="E1" s="4" t="inlineStr">
        <is>
          <t>Fail</t>
        </is>
      </c>
      <c r="F1" s="4" t="inlineStr">
        <is>
          <t>Blocked</t>
        </is>
      </c>
      <c r="G1" s="4" t="inlineStr">
        <is>
          <t>Not run</t>
        </is>
      </c>
      <c r="H1" s="4" t="inlineStr">
        <is>
          <t>P0 failing</t>
        </is>
      </c>
    </row>
    <row r="2">
      <c r="A2" t="inlineStr">
        <is>
          <t>Journeys</t>
        </is>
      </c>
      <c r="B2" t="n">
        <v>35</v>
      </c>
      <c r="C2">
        <f>COUNTIF('Journeys'!I2:I36,"P0")</f>
        <v/>
      </c>
      <c r="D2">
        <f>COUNTIF('Journeys'!K2:K36,"Pass")</f>
        <v/>
      </c>
      <c r="E2">
        <f>COUNTIF('Journeys'!K2:K36,"Fail")</f>
        <v/>
      </c>
      <c r="F2">
        <f>COUNTIF('Journeys'!K2:K36,"Blocked")</f>
        <v/>
      </c>
      <c r="G2">
        <f>COUNTIF('Journeys'!K2:K36,"Not run")</f>
        <v/>
      </c>
      <c r="H2">
        <f>COUNTIFS('Journeys'!I2:I36,"P0",'Journeys'!K2:K36,"Fail")</f>
        <v/>
      </c>
    </row>
    <row r="3">
      <c r="A3" t="inlineStr">
        <is>
          <t>Features</t>
        </is>
      </c>
      <c r="B3" t="n">
        <v>39</v>
      </c>
      <c r="C3">
        <f>COUNTIF('Features'!I2:I40,"P0")</f>
        <v/>
      </c>
      <c r="D3">
        <f>COUNTIF('Features'!K2:K40,"Pass")</f>
        <v/>
      </c>
      <c r="E3">
        <f>COUNTIF('Features'!K2:K40,"Fail")</f>
        <v/>
      </c>
      <c r="F3">
        <f>COUNTIF('Features'!K2:K40,"Blocked")</f>
        <v/>
      </c>
      <c r="G3">
        <f>COUNTIF('Features'!K2:K40,"Not run")</f>
        <v/>
      </c>
      <c r="H3">
        <f>COUNTIFS('Features'!I2:I40,"P0",'Features'!K2:K40,"Fail")</f>
        <v/>
      </c>
    </row>
    <row r="4">
      <c r="A4" t="inlineStr">
        <is>
          <t>Permissions</t>
        </is>
      </c>
      <c r="B4" t="n">
        <v>15</v>
      </c>
      <c r="C4">
        <f>COUNTIF('Permissions'!I2:I16,"P0")</f>
        <v/>
      </c>
      <c r="D4">
        <f>COUNTIF('Permissions'!K2:K16,"Pass")</f>
        <v/>
      </c>
      <c r="E4">
        <f>COUNTIF('Permissions'!K2:K16,"Fail")</f>
        <v/>
      </c>
      <c r="F4">
        <f>COUNTIF('Permissions'!K2:K16,"Blocked")</f>
        <v/>
      </c>
      <c r="G4">
        <f>COUNTIF('Permissions'!K2:K16,"Not run")</f>
        <v/>
      </c>
      <c r="H4">
        <f>COUNTIFS('Permissions'!I2:I16,"P0",'Permissions'!K2:K16,"Fail")</f>
        <v/>
      </c>
    </row>
    <row r="5">
      <c r="A5" t="inlineStr">
        <is>
          <t>Cross-cutting</t>
        </is>
      </c>
      <c r="B5" t="n">
        <v>13</v>
      </c>
      <c r="C5">
        <f>COUNTIF('Cross-cutting'!I2:I14,"P0")</f>
        <v/>
      </c>
      <c r="D5">
        <f>COUNTIF('Cross-cutting'!K2:K14,"Pass")</f>
        <v/>
      </c>
      <c r="E5">
        <f>COUNTIF('Cross-cutting'!K2:K14,"Fail")</f>
        <v/>
      </c>
      <c r="F5">
        <f>COUNTIF('Cross-cutting'!K2:K14,"Blocked")</f>
        <v/>
      </c>
      <c r="G5">
        <f>COUNTIF('Cross-cutting'!K2:K14,"Not run")</f>
        <v/>
      </c>
      <c r="H5">
        <f>COUNTIFS('Cross-cutting'!I2:I14,"P0",'Cross-cutting'!K2:K14,"Fail")</f>
        <v/>
      </c>
    </row>
    <row r="6">
      <c r="A6" s="5" t="inlineStr">
        <is>
          <t>Total</t>
        </is>
      </c>
      <c r="B6" s="5">
        <f>SUM(B2:B5)</f>
        <v/>
      </c>
      <c r="C6" s="5">
        <f>SUM(C2:C5)</f>
        <v/>
      </c>
      <c r="D6" s="5">
        <f>SUM(D2:D5)</f>
        <v/>
      </c>
      <c r="E6" s="5">
        <f>SUM(E2:E5)</f>
        <v/>
      </c>
      <c r="F6" s="5">
        <f>SUM(F2:F5)</f>
        <v/>
      </c>
      <c r="G6" s="5">
        <f>SUM(G2:G5)</f>
        <v/>
      </c>
      <c r="H6" s="5">
        <f>SUM(H2:H5)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18" customWidth="1" min="4" max="4"/>
    <col width="30" customWidth="1" min="5" max="5"/>
    <col width="60" customWidth="1" min="6" max="6"/>
    <col width="60" customWidth="1" min="7" max="7"/>
    <col width="16" customWidth="1" min="8" max="8"/>
    <col width="8" customWidth="1" min="9" max="9"/>
    <col width="10" customWidth="1" min="10" max="10"/>
    <col width="10" customWidth="1" min="11" max="11"/>
    <col width="12" customWidth="1" min="12" max="12"/>
    <col width="11" customWidth="1" min="13" max="13"/>
    <col width="30" customWidth="1" min="14" max="14"/>
  </cols>
  <sheetData>
    <row r="1">
      <c r="A1" s="6" t="inlineStr">
        <is>
          <t>ID</t>
        </is>
      </c>
      <c r="B1" s="6" t="inlineStr">
        <is>
          <t>Area</t>
        </is>
      </c>
      <c r="C1" s="6" t="inlineStr">
        <is>
          <t>Scenario</t>
        </is>
      </c>
      <c r="D1" s="6" t="inlineStr">
        <is>
          <t>Persona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Refs</t>
        </is>
      </c>
      <c r="I1" s="6" t="inlineStr">
        <is>
          <t>Priority</t>
        </is>
      </c>
      <c r="J1" s="6" t="inlineStr">
        <is>
          <t>Viewport</t>
        </is>
      </c>
      <c r="K1" s="6" t="inlineStr">
        <is>
          <t>Result</t>
        </is>
      </c>
      <c r="L1" s="6" t="inlineStr">
        <is>
          <t>Tester</t>
        </is>
      </c>
      <c r="M1" s="6" t="inlineStr">
        <is>
          <t>Date</t>
        </is>
      </c>
      <c r="N1" s="6" t="inlineStr">
        <is>
          <t>Bug / notes</t>
        </is>
      </c>
    </row>
    <row r="2">
      <c r="A2" s="3" t="inlineStr">
        <is>
          <t>J01.1</t>
        </is>
      </c>
      <c r="B2" s="3" t="inlineStr">
        <is>
          <t>J01 Polo → reorder</t>
        </is>
      </c>
      <c r="C2" s="3" t="inlineStr">
        <is>
          <t>Configure custom Polo from homepage</t>
        </is>
      </c>
      <c r="D2" s="3" t="inlineStr">
        <is>
          <t>Guest</t>
        </is>
      </c>
      <c r="E2" s="3" t="inlineStr">
        <is>
          <t>Staging web open, signed out</t>
        </is>
      </c>
      <c r="F2" s="3" t="inlineStr">
        <is>
          <t>Home → Products → Staff Polo → Configure. Navy, qty 50, size matrix, left-chest embroidery, upload logo, needed-by date, Lagos address.</t>
        </is>
      </c>
      <c r="G2" s="3" t="inlineStr">
        <is>
          <t>Each step saves; price state shows ESTIMATE_READY or QUOTE_REQUIRED; choices survive refresh; no jump to empty contact form.</t>
        </is>
      </c>
      <c r="H2" s="3" t="inlineStr">
        <is>
          <t>PRD-02; T03-05</t>
        </is>
      </c>
      <c r="I2" s="3" t="inlineStr">
        <is>
          <t>P0</t>
        </is>
      </c>
      <c r="J2" s="3" t="inlineStr">
        <is>
          <t>375 + 1440</t>
        </is>
      </c>
      <c r="K2" s="3" t="inlineStr">
        <is>
          <t>Not run</t>
        </is>
      </c>
      <c r="L2" s="3" t="inlineStr"/>
      <c r="M2" s="3" t="inlineStr"/>
      <c r="N2" s="3" t="inlineStr"/>
    </row>
    <row r="3">
      <c r="A3" s="3" t="inlineStr">
        <is>
          <t>J01.2</t>
        </is>
      </c>
      <c r="B3" s="3" t="inlineStr">
        <is>
          <t>J01 Polo → reorder</t>
        </is>
      </c>
      <c r="C3" s="3" t="inlineStr">
        <is>
          <t>Request final quote</t>
        </is>
      </c>
      <c r="D3" s="3" t="inlineStr">
        <is>
          <t>Guest</t>
        </is>
      </c>
      <c r="E3" s="3" t="inlineStr">
        <is>
          <t>J01.1 done</t>
        </is>
      </c>
      <c r="F3" s="3" t="inlineStr">
        <is>
          <t>Click Request Final Quote; enter name/email; submit.</t>
        </is>
      </c>
      <c r="G3" s="3" t="inlineStr">
        <is>
          <t>Confirmation shows reference; email with secure quote link arrives; configuration snapshot (colour, qty, sizes, placement, artwork version, date, destination) visible in admin Quotes.</t>
        </is>
      </c>
      <c r="H3" s="3" t="inlineStr">
        <is>
          <t>PRD-03; T03-08, T05-03</t>
        </is>
      </c>
      <c r="I3" s="3" t="inlineStr">
        <is>
          <t>P0</t>
        </is>
      </c>
      <c r="J3" s="3" t="inlineStr">
        <is>
          <t>1440</t>
        </is>
      </c>
      <c r="K3" s="3" t="inlineStr">
        <is>
          <t>Not run</t>
        </is>
      </c>
      <c r="L3" s="3" t="inlineStr"/>
      <c r="M3" s="3" t="inlineStr"/>
      <c r="N3" s="3" t="inlineStr"/>
    </row>
    <row r="4">
      <c r="A4" s="3" t="inlineStr">
        <is>
          <t>J01.3</t>
        </is>
      </c>
      <c r="B4" s="3" t="inlineStr">
        <is>
          <t>J01 Polo → reorder</t>
        </is>
      </c>
      <c r="C4" s="3" t="inlineStr">
        <is>
          <t>Staff builds and sends quote</t>
        </is>
      </c>
      <c r="D4" s="3" t="inlineStr">
        <is>
          <t>Staff Ada</t>
        </is>
      </c>
      <c r="E4" s="3" t="inlineStr">
        <is>
          <t>J01.2 done</t>
        </is>
      </c>
      <c r="F4" s="3" t="inlineStr">
        <is>
          <t>Admin → Quotes → open request → build V1 lines → Send.</t>
        </is>
      </c>
      <c r="G4" s="3" t="inlineStr">
        <is>
          <t>Version V1 = SENT; customer quote page shows READY; line items match snapshot.</t>
        </is>
      </c>
      <c r="H4" s="3" t="inlineStr">
        <is>
          <t>PRD-03; T05-03</t>
        </is>
      </c>
      <c r="I4" s="3" t="inlineStr">
        <is>
          <t>P0</t>
        </is>
      </c>
      <c r="J4" s="3" t="inlineStr">
        <is>
          <t>1440</t>
        </is>
      </c>
      <c r="K4" s="3" t="inlineStr">
        <is>
          <t>Not run</t>
        </is>
      </c>
      <c r="L4" s="3" t="inlineStr"/>
      <c r="M4" s="3" t="inlineStr"/>
      <c r="N4" s="3" t="inlineStr"/>
    </row>
    <row r="5">
      <c r="A5" s="3" t="inlineStr">
        <is>
          <t>J01.4</t>
        </is>
      </c>
      <c r="B5" s="3" t="inlineStr">
        <is>
          <t>J01 Polo → reorder</t>
        </is>
      </c>
      <c r="C5" s="3" t="inlineStr">
        <is>
          <t>Accept quote and pay deposit</t>
        </is>
      </c>
      <c r="D5" s="3" t="inlineStr">
        <is>
          <t>Guest</t>
        </is>
      </c>
      <c r="E5" s="3" t="inlineStr">
        <is>
          <t>J01.3 done</t>
        </is>
      </c>
      <c r="F5" s="3" t="inlineStr">
        <is>
          <t>Open secure quote link → Accept (email code) → pay deposit with Paystack test card.</t>
        </is>
      </c>
      <c r="G5" s="3" t="inlineStr">
        <is>
          <t>Accept needs recent email code; status ACCEPTED; payment DEPOSIT_PAID after webhook; order created; receipt page and email.</t>
        </is>
      </c>
      <c r="H5" s="3" t="inlineStr">
        <is>
          <t>PRD-03; T05-05, T04-05</t>
        </is>
      </c>
      <c r="I5" s="3" t="inlineStr">
        <is>
          <t>P0</t>
        </is>
      </c>
      <c r="J5" s="3" t="inlineStr">
        <is>
          <t>375 + 1440</t>
        </is>
      </c>
      <c r="K5" s="3" t="inlineStr">
        <is>
          <t>Not run</t>
        </is>
      </c>
      <c r="L5" s="3" t="inlineStr"/>
      <c r="M5" s="3" t="inlineStr"/>
      <c r="N5" s="3" t="inlineStr"/>
    </row>
    <row r="6">
      <c r="A6" s="3" t="inlineStr">
        <is>
          <t>J01.5</t>
        </is>
      </c>
      <c r="B6" s="3" t="inlineStr">
        <is>
          <t>J01 Polo → reorder</t>
        </is>
      </c>
      <c r="C6" s="3" t="inlineStr">
        <is>
          <t>Proof V1 approval</t>
        </is>
      </c>
      <c r="D6" s="3" t="inlineStr">
        <is>
          <t>Staff Ada → Guest</t>
        </is>
      </c>
      <c r="E6" s="3" t="inlineStr">
        <is>
          <t>Order exists</t>
        </is>
      </c>
      <c r="F6" s="3" t="inlineStr">
        <is>
          <t>Admin → Proofs → prepare &amp; send V1. Customer opens proof link → Approve (email code).</t>
        </is>
      </c>
      <c r="G6" s="3" t="inlineStr">
        <is>
          <t>Before approval viewer says 'Production proof preview' and AWAITING_APPROVAL; after: APPROVED; item leaves AWAITING_PREREQUISITE.</t>
        </is>
      </c>
      <c r="H6" s="3" t="inlineStr">
        <is>
          <t>PRD-04; T06-01</t>
        </is>
      </c>
      <c r="I6" s="3" t="inlineStr">
        <is>
          <t>P0</t>
        </is>
      </c>
      <c r="J6" s="3" t="inlineStr">
        <is>
          <t>375 + 1440</t>
        </is>
      </c>
      <c r="K6" s="3" t="inlineStr">
        <is>
          <t>Not run</t>
        </is>
      </c>
      <c r="L6" s="3" t="inlineStr"/>
      <c r="M6" s="3" t="inlineStr"/>
      <c r="N6" s="3" t="inlineStr"/>
    </row>
    <row r="7">
      <c r="A7" s="3" t="inlineStr">
        <is>
          <t>J01.6</t>
        </is>
      </c>
      <c r="B7" s="3" t="inlineStr">
        <is>
          <t>J01 Polo → reorder</t>
        </is>
      </c>
      <c r="C7" s="3" t="inlineStr">
        <is>
          <t>Production, QC, balance, release</t>
        </is>
      </c>
      <c r="D7" s="3" t="inlineStr">
        <is>
          <t>Staff Ada</t>
        </is>
      </c>
      <c r="E7" s="3" t="inlineStr">
        <is>
          <t>Proof approved</t>
        </is>
      </c>
      <c r="F7" s="3" t="inlineStr">
        <is>
          <t>Admin → Production: move item QUEUED → IN_PRODUCTION → QUALITY_CHECK → ready.</t>
        </is>
      </c>
      <c r="G7" s="3" t="inlineStr">
        <is>
          <t>Balance becomes due at first item past QC (balance email); item READY_AWAITING_RELEASE until balance PAID, then READY_TO_DISPATCH.</t>
        </is>
      </c>
      <c r="H7" s="3" t="inlineStr">
        <is>
          <t>PRD-04; T07-01</t>
        </is>
      </c>
      <c r="I7" s="3" t="inlineStr">
        <is>
          <t>P0</t>
        </is>
      </c>
      <c r="J7" s="3" t="inlineStr">
        <is>
          <t>1440</t>
        </is>
      </c>
      <c r="K7" s="3" t="inlineStr">
        <is>
          <t>Not run</t>
        </is>
      </c>
      <c r="L7" s="3" t="inlineStr"/>
      <c r="M7" s="3" t="inlineStr"/>
      <c r="N7" s="3" t="inlineStr"/>
    </row>
    <row r="8">
      <c r="A8" s="3" t="inlineStr">
        <is>
          <t>J01.7</t>
        </is>
      </c>
      <c r="B8" s="3" t="inlineStr">
        <is>
          <t>J01 Polo → reorder</t>
        </is>
      </c>
      <c r="C8" s="3" t="inlineStr">
        <is>
          <t>Ship and deliver</t>
        </is>
      </c>
      <c r="D8" s="3" t="inlineStr">
        <is>
          <t>Staff Ada</t>
        </is>
      </c>
      <c r="E8" s="3" t="inlineStr">
        <is>
          <t>Balance paid</t>
        </is>
      </c>
      <c r="F8" s="3" t="inlineStr">
        <is>
          <t>Admin → Shipments → create shipment / book courier → mark IN_TRANSIT → DELIVERED.</t>
        </is>
      </c>
      <c r="G8" s="3" t="inlineStr">
        <is>
          <t>Customer order page shows tracking and DELIVERED; shipment email(s) sent.</t>
        </is>
      </c>
      <c r="H8" s="3" t="inlineStr">
        <is>
          <t>PRD-04; T08-01, T08-06</t>
        </is>
      </c>
      <c r="I8" s="3" t="inlineStr">
        <is>
          <t>P0</t>
        </is>
      </c>
      <c r="J8" s="3" t="inlineStr">
        <is>
          <t>375</t>
        </is>
      </c>
      <c r="K8" s="3" t="inlineStr">
        <is>
          <t>Not run</t>
        </is>
      </c>
      <c r="L8" s="3" t="inlineStr"/>
      <c r="M8" s="3" t="inlineStr"/>
      <c r="N8" s="3" t="inlineStr"/>
    </row>
    <row r="9">
      <c r="A9" s="3" t="inlineStr">
        <is>
          <t>J01.8</t>
        </is>
      </c>
      <c r="B9" s="3" t="inlineStr">
        <is>
          <t>J01 Polo → reorder</t>
        </is>
      </c>
      <c r="C9" s="3" t="inlineStr">
        <is>
          <t>Exact reorder and reorder with changes</t>
        </is>
      </c>
      <c r="D9" s="3" t="inlineStr">
        <is>
          <t>Guest</t>
        </is>
      </c>
      <c r="E9" s="3" t="inlineStr">
        <is>
          <t>Order DELIVERED</t>
        </is>
      </c>
      <c r="F9" s="3" t="inlineStr">
        <is>
          <t>Order page → item → Reorder. Repeat, but change artwork.</t>
        </is>
      </c>
      <c r="G9" s="3" t="inlineStr">
        <is>
          <t>Exact reorder copies spec and cites historical source; changed artwork starts 'reorder with changes'; original order unchanged.</t>
        </is>
      </c>
      <c r="H9" s="3" t="inlineStr">
        <is>
          <t>PRD-04; T08-01</t>
        </is>
      </c>
      <c r="I9" s="3" t="inlineStr">
        <is>
          <t>P1</t>
        </is>
      </c>
      <c r="J9" s="3" t="inlineStr">
        <is>
          <t>1440</t>
        </is>
      </c>
      <c r="K9" s="3" t="inlineStr">
        <is>
          <t>Not run</t>
        </is>
      </c>
      <c r="L9" s="3" t="inlineStr"/>
      <c r="M9" s="3" t="inlineStr"/>
      <c r="N9" s="3" t="inlineStr"/>
    </row>
    <row r="10">
      <c r="A10" s="3" t="inlineStr">
        <is>
          <t>J02.1</t>
        </is>
      </c>
      <c r="B10" s="3" t="inlineStr">
        <is>
          <t>J02 Business Cards</t>
        </is>
      </c>
      <c r="C10" s="3" t="inlineStr">
        <is>
          <t>Direct purchase, PRICE_READY</t>
        </is>
      </c>
      <c r="D10" s="3" t="inlineStr">
        <is>
          <t>Customer Chidi</t>
        </is>
      </c>
      <c r="E10" s="3" t="inlineStr">
        <is>
          <t>Signed in</t>
        </is>
      </c>
      <c r="F10" s="3" t="inlineStr">
        <is>
          <t>Products → Business Cards → paper, sides, finish, qty, upload artwork → Add to cart → Checkout → zone delivery → pay.</t>
        </is>
      </c>
      <c r="G10" s="3" t="inlineStr">
        <is>
          <t>PRICE_READY total matches calculator; delivery rate shown; payment PAID; order CONFIRMED; receipt; no Project/Workspace step forced.</t>
        </is>
      </c>
      <c r="H10" s="3" t="inlineStr">
        <is>
          <t>PRD-02; T03-03, T04-01</t>
        </is>
      </c>
      <c r="I10" s="3" t="inlineStr">
        <is>
          <t>P0</t>
        </is>
      </c>
      <c r="J10" s="3" t="inlineStr">
        <is>
          <t>375 + 1440</t>
        </is>
      </c>
      <c r="K10" s="3" t="inlineStr">
        <is>
          <t>Not run</t>
        </is>
      </c>
      <c r="L10" s="3" t="inlineStr"/>
      <c r="M10" s="3" t="inlineStr"/>
      <c r="N10" s="3" t="inlineStr"/>
    </row>
    <row r="11">
      <c r="A11" s="3" t="inlineStr">
        <is>
          <t>J02.2</t>
        </is>
      </c>
      <c r="B11" s="3" t="inlineStr">
        <is>
          <t>J02 Business Cards</t>
        </is>
      </c>
      <c r="C11" s="3" t="inlineStr">
        <is>
          <t>Proof → dispatch → reorder</t>
        </is>
      </c>
      <c r="D11" s="3" t="inlineStr">
        <is>
          <t>Staff Ada → Chidi</t>
        </is>
      </c>
      <c r="E11" s="3" t="inlineStr">
        <is>
          <t>J02.1 done</t>
        </is>
      </c>
      <c r="F11" s="3" t="inlineStr">
        <is>
          <t>Send proof → approve → production → QC → dispatch → deliver → Reorder from /account.</t>
        </is>
      </c>
      <c r="G11" s="3" t="inlineStr">
        <is>
          <t>Each status visible on /orders/[id]; reorder uses historical spec and artwork.</t>
        </is>
      </c>
      <c r="H11" s="3" t="inlineStr">
        <is>
          <t>PRD-04</t>
        </is>
      </c>
      <c r="I11" s="3" t="inlineStr">
        <is>
          <t>P1</t>
        </is>
      </c>
      <c r="J11" s="3" t="inlineStr">
        <is>
          <t>1440</t>
        </is>
      </c>
      <c r="K11" s="3" t="inlineStr">
        <is>
          <t>Not run</t>
        </is>
      </c>
      <c r="L11" s="3" t="inlineStr"/>
      <c r="M11" s="3" t="inlineStr"/>
      <c r="N11" s="3" t="inlineStr"/>
    </row>
    <row r="12">
      <c r="A12" s="3" t="inlineStr">
        <is>
          <t>J03.1</t>
        </is>
      </c>
      <c r="B12" s="3" t="inlineStr">
        <is>
          <t>J03 Event project</t>
        </is>
      </c>
      <c r="C12" s="3" t="inlineStr">
        <is>
          <t>Event Project Builder</t>
        </is>
      </c>
      <c r="D12" s="3" t="inlineStr">
        <is>
          <t>Guest</t>
        </is>
      </c>
      <c r="E12" s="3" t="inlineStr">
        <is>
          <t>Signed out</t>
        </is>
      </c>
      <c r="F12" s="3" t="inlineStr">
        <is>
          <t>Home → Start a Project → Event: 250 attendees, 30 crew, Lagos, 6 weeks, upload logo/guidelines, pick items incl. custom welcome kit → Submit.</t>
        </is>
      </c>
      <c r="G12" s="3" t="inlineStr">
        <is>
          <t>Autosave each step; recommendations shown; project reference HP-P-…; submission email.</t>
        </is>
      </c>
      <c r="H12" s="3" t="inlineStr">
        <is>
          <t>PRD-03; T05-01</t>
        </is>
      </c>
      <c r="I12" s="3" t="inlineStr">
        <is>
          <t>P0</t>
        </is>
      </c>
      <c r="J12" s="3" t="inlineStr">
        <is>
          <t>375 + 1440</t>
        </is>
      </c>
      <c r="K12" s="3" t="inlineStr">
        <is>
          <t>Not run</t>
        </is>
      </c>
      <c r="L12" s="3" t="inlineStr"/>
      <c r="M12" s="3" t="inlineStr"/>
      <c r="N12" s="3" t="inlineStr"/>
    </row>
    <row r="13">
      <c r="A13" s="3" t="inlineStr">
        <is>
          <t>J03.2</t>
        </is>
      </c>
      <c r="B13" s="3" t="inlineStr">
        <is>
          <t>J03 Event project</t>
        </is>
      </c>
      <c r="C13" s="3" t="inlineStr">
        <is>
          <t>Quote V1 → revision → V2</t>
        </is>
      </c>
      <c r="D13" s="3" t="inlineStr">
        <is>
          <t>Guest + Staff</t>
        </is>
      </c>
      <c r="E13" s="3" t="inlineStr">
        <is>
          <t>J03.1 done</t>
        </is>
      </c>
      <c r="F13" s="3" t="inlineStr">
        <is>
          <t>Staff sends V1 excluding welcome kit. Customer requests revision. Staff sends V2. Customer accepts V2 and pays deposit.</t>
        </is>
      </c>
      <c r="G13" s="3" t="inlineStr">
        <is>
          <t>V1 SUPERSEDED, stays in history; customer sees 'Revised quote'; kit stays on Project outside quote and is visibly excluded.</t>
        </is>
      </c>
      <c r="H13" s="3" t="inlineStr">
        <is>
          <t>PRD-03; T05-05</t>
        </is>
      </c>
      <c r="I13" s="3" t="inlineStr">
        <is>
          <t>P0</t>
        </is>
      </c>
      <c r="J13" s="3" t="inlineStr">
        <is>
          <t>1440</t>
        </is>
      </c>
      <c r="K13" s="3" t="inlineStr">
        <is>
          <t>Not run</t>
        </is>
      </c>
      <c r="L13" s="3" t="inlineStr"/>
      <c r="M13" s="3" t="inlineStr"/>
      <c r="N13" s="3" t="inlineStr"/>
    </row>
    <row r="14">
      <c r="A14" s="3" t="inlineStr">
        <is>
          <t>J03.3</t>
        </is>
      </c>
      <c r="B14" s="3" t="inlineStr">
        <is>
          <t>J03 Event project</t>
        </is>
      </c>
      <c r="C14" s="3" t="inlineStr">
        <is>
          <t>Item proofs with changes requested</t>
        </is>
      </c>
      <c r="D14" s="3" t="inlineStr">
        <is>
          <t>Guest + Staff</t>
        </is>
      </c>
      <c r="E14" s="3" t="inlineStr">
        <is>
          <t>Deposit paid</t>
        </is>
      </c>
      <c r="F14" s="3" t="inlineStr">
        <is>
          <t>Approve Polo + Backdrop proofs; request changes on Badge V1 with pin comment; staff sends Badge V2.</t>
        </is>
      </c>
      <c r="G14" s="3" t="inlineStr">
        <is>
          <t>Badge V1 CHANGES_REQUESTED → V2 AWAITING_APPROVAL; pins/comments kept; other items proceed.</t>
        </is>
      </c>
      <c r="H14" s="3" t="inlineStr">
        <is>
          <t>PRD-04; T06-03</t>
        </is>
      </c>
      <c r="I14" s="3" t="inlineStr">
        <is>
          <t>P0</t>
        </is>
      </c>
      <c r="J14" s="3" t="inlineStr">
        <is>
          <t>1440</t>
        </is>
      </c>
      <c r="K14" s="3" t="inlineStr">
        <is>
          <t>Not run</t>
        </is>
      </c>
      <c r="L14" s="3" t="inlineStr"/>
      <c r="M14" s="3" t="inlineStr"/>
      <c r="N14" s="3" t="inlineStr"/>
    </row>
    <row r="15">
      <c r="A15" s="3" t="inlineStr">
        <is>
          <t>J03.4</t>
        </is>
      </c>
      <c r="B15" s="3" t="inlineStr">
        <is>
          <t>J03 Event project</t>
        </is>
      </c>
      <c r="C15" s="3" t="inlineStr">
        <is>
          <t>Partial dispatch with balance hold</t>
        </is>
      </c>
      <c r="D15" s="3" t="inlineStr">
        <is>
          <t>Staff + Guest</t>
        </is>
      </c>
      <c r="E15" s="3" t="inlineStr">
        <is>
          <t>Proofs approved</t>
        </is>
      </c>
      <c r="F15" s="3" t="inlineStr">
        <is>
          <t>Finish Polo; Backdrop ready but balance unpaid; ship Polo only.</t>
        </is>
      </c>
      <c r="G15" s="3" t="inlineStr">
        <is>
          <t>Backdrop READY_AWAITING_RELEASE; order PARTIALLY_DISPATCHED; badge attention and balance still visible on order page.</t>
        </is>
      </c>
      <c r="H15" s="3" t="inlineStr">
        <is>
          <t>PRD-04; T07-01, T08-01</t>
        </is>
      </c>
      <c r="I15" s="3" t="inlineStr">
        <is>
          <t>P0</t>
        </is>
      </c>
      <c r="J15" s="3" t="inlineStr">
        <is>
          <t>375 + 1440</t>
        </is>
      </c>
      <c r="K15" s="3" t="inlineStr">
        <is>
          <t>Not run</t>
        </is>
      </c>
      <c r="L15" s="3" t="inlineStr"/>
      <c r="M15" s="3" t="inlineStr"/>
      <c r="N15" s="3" t="inlineStr"/>
    </row>
    <row r="16">
      <c r="A16" s="3" t="inlineStr">
        <is>
          <t>J04.1</t>
        </is>
      </c>
      <c r="B16" s="3" t="inlineStr">
        <is>
          <t>J04 Uniform → group</t>
        </is>
      </c>
      <c r="C16" s="3" t="inlineStr">
        <is>
          <t>Staff Uniform project to Group Collection</t>
        </is>
      </c>
      <c r="D16" s="3" t="inlineStr">
        <is>
          <t>ACME Owner Ngozi</t>
        </is>
      </c>
      <c r="E16" s="3" t="inlineStr">
        <is>
          <t>Signed in, ACME workspace</t>
        </is>
      </c>
      <c r="F16" s="3" t="inlineStr">
        <is>
          <t>Start → Staff Uniform project, save → Workspace → Groups → New from project (Staff Polo).</t>
        </is>
      </c>
      <c r="G16" s="3" t="inlineStr">
        <is>
          <t>Collection DRAFT → OPEN; project link kept; Kitchen Wear/Aprons remain on project.</t>
        </is>
      </c>
      <c r="H16" s="3" t="inlineStr">
        <is>
          <t>PRD-05; T12-01</t>
        </is>
      </c>
      <c r="I16" s="3" t="inlineStr">
        <is>
          <t>P0</t>
        </is>
      </c>
      <c r="J16" s="3" t="inlineStr">
        <is>
          <t>1440</t>
        </is>
      </c>
      <c r="K16" s="3" t="inlineStr">
        <is>
          <t>Not run</t>
        </is>
      </c>
      <c r="L16" s="3" t="inlineStr"/>
      <c r="M16" s="3" t="inlineStr"/>
      <c r="N16" s="3" t="inlineStr"/>
    </row>
    <row r="17">
      <c r="A17" s="3" t="inlineStr">
        <is>
          <t>J04.2</t>
        </is>
      </c>
      <c r="B17" s="3" t="inlineStr">
        <is>
          <t>J04 Uniform → group</t>
        </is>
      </c>
      <c r="C17" s="3" t="inlineStr">
        <is>
          <t>Participant secure-link submissions</t>
        </is>
      </c>
      <c r="D17" s="3" t="inlineStr">
        <is>
          <t>Participant (no login)</t>
        </is>
      </c>
      <c r="E17" s="3" t="inlineStr">
        <is>
          <t>Collection OPEN, links sent</t>
        </is>
      </c>
      <c r="F17" s="3" t="inlineStr">
        <is>
          <t>Open participant link (/g) on phone → pick size, name, location (Lekki/VI) → submit → edit own response.</t>
        </is>
      </c>
      <c r="G17" s="3" t="inlineStr">
        <is>
          <t>Only own submission visible; edit allowed while OPEN; no workspace nav or peer data.</t>
        </is>
      </c>
      <c r="H17" s="3" t="inlineStr">
        <is>
          <t>PRD-05; T12-01b</t>
        </is>
      </c>
      <c r="I17" s="3" t="inlineStr">
        <is>
          <t>P0</t>
        </is>
      </c>
      <c r="J17" s="3" t="inlineStr">
        <is>
          <t>375</t>
        </is>
      </c>
      <c r="K17" s="3" t="inlineStr">
        <is>
          <t>Not run</t>
        </is>
      </c>
      <c r="L17" s="3" t="inlineStr"/>
      <c r="M17" s="3" t="inlineStr"/>
      <c r="N17" s="3" t="inlineStr"/>
    </row>
    <row r="18">
      <c r="A18" s="3" t="inlineStr">
        <is>
          <t>J04.3</t>
        </is>
      </c>
      <c r="B18" s="3" t="inlineStr">
        <is>
          <t>J04 Uniform → group</t>
        </is>
      </c>
      <c r="C18" s="3" t="inlineStr">
        <is>
          <t>CSV import with issues</t>
        </is>
      </c>
      <c r="D18" s="3" t="inlineStr">
        <is>
          <t>ACME Owner</t>
        </is>
      </c>
      <c r="E18" s="3" t="inlineStr">
        <is>
          <t>Collection OPEN</t>
        </is>
      </c>
      <c r="F18" s="3" t="inlineStr">
        <is>
          <t>Groups → collection → Import → upload CSV of 15 rows with 2 bad rows → fix → import.</t>
        </is>
      </c>
      <c r="G18" s="3" t="inlineStr">
        <is>
          <t>Bad rows flagged with reason; fixed rows import; counts update.</t>
        </is>
      </c>
      <c r="H18" s="3" t="inlineStr">
        <is>
          <t>PRD-05; T12-03c</t>
        </is>
      </c>
      <c r="I18" s="3" t="inlineStr">
        <is>
          <t>P1</t>
        </is>
      </c>
      <c r="J18" s="3" t="inlineStr">
        <is>
          <t>1440</t>
        </is>
      </c>
      <c r="K18" s="3" t="inlineStr">
        <is>
          <t>Not run</t>
        </is>
      </c>
      <c r="L18" s="3" t="inlineStr"/>
      <c r="M18" s="3" t="inlineStr"/>
      <c r="N18" s="3" t="inlineStr"/>
    </row>
    <row r="19">
      <c r="A19" s="3" t="inlineStr">
        <is>
          <t>J04.4</t>
        </is>
      </c>
      <c r="B19" s="3" t="inlineStr">
        <is>
          <t>J04 Uniform → group</t>
        </is>
      </c>
      <c r="C19" s="3" t="inlineStr">
        <is>
          <t>Close, review, create Order Draft</t>
        </is>
      </c>
      <c r="D19" s="3" t="inlineStr">
        <is>
          <t>ACME Owner</t>
        </is>
      </c>
      <c r="E19" s="3" t="inlineStr">
        <is>
          <t>60 submissions</t>
        </is>
      </c>
      <c r="F19" s="3" t="inlineStr">
        <is>
          <t>Close collection → review aggregate → create Order Draft.</t>
        </is>
      </c>
      <c r="G19" s="3" t="inlineStr">
        <is>
          <t>Status CLOSED → READY_TO_ORDER → ORDER_DRAFT_CREATED; draft keeps sizes, names, Lekki/VI groups; no production order yet.</t>
        </is>
      </c>
      <c r="H19" s="3" t="inlineStr">
        <is>
          <t>PRD-05; T12-03, T12-03b</t>
        </is>
      </c>
      <c r="I19" s="3" t="inlineStr">
        <is>
          <t>P0</t>
        </is>
      </c>
      <c r="J19" s="3" t="inlineStr">
        <is>
          <t>1440</t>
        </is>
      </c>
      <c r="K19" s="3" t="inlineStr">
        <is>
          <t>Not run</t>
        </is>
      </c>
      <c r="L19" s="3" t="inlineStr"/>
      <c r="M19" s="3" t="inlineStr"/>
      <c r="N19" s="3" t="inlineStr"/>
    </row>
    <row r="20">
      <c r="A20" s="3" t="inlineStr">
        <is>
          <t>J05.1</t>
        </is>
      </c>
      <c r="B20" s="3" t="inlineStr">
        <is>
          <t>J05 Within authority</t>
        </is>
      </c>
      <c r="C20" s="3" t="inlineStr">
        <is>
          <t>Approval then quote within limit</t>
        </is>
      </c>
      <c r="D20" s="3" t="inlineStr">
        <is>
          <t>Buyer Tunde → Approver Kemi → Owner</t>
        </is>
      </c>
      <c r="E20" s="3" t="inlineStr">
        <is>
          <t>Order Draft ₦450k</t>
        </is>
      </c>
      <c r="F20" s="3" t="inlineStr">
        <is>
          <t>Buyer submits order request → Approver approves ₦450k → staff quotes ₦440k → member with accept-quote permission accepts.</t>
        </is>
      </c>
      <c r="G20" s="3" t="inlineStr">
        <is>
          <t>ORGANIZATION APPROVAL VALID; no second approval; approval and quote are separate records.</t>
        </is>
      </c>
      <c r="H20" s="3" t="inlineStr">
        <is>
          <t>PRD-05; T11-04</t>
        </is>
      </c>
      <c r="I20" s="3" t="inlineStr">
        <is>
          <t>P0</t>
        </is>
      </c>
      <c r="J20" s="3" t="inlineStr">
        <is>
          <t>1440</t>
        </is>
      </c>
      <c r="K20" s="3" t="inlineStr">
        <is>
          <t>Not run</t>
        </is>
      </c>
      <c r="L20" s="3" t="inlineStr"/>
      <c r="M20" s="3" t="inlineStr"/>
      <c r="N20" s="3" t="inlineStr"/>
    </row>
    <row r="21">
      <c r="A21" s="3" t="inlineStr">
        <is>
          <t>J06.1</t>
        </is>
      </c>
      <c r="B21" s="3" t="inlineStr">
        <is>
          <t>J06 Above authority</t>
        </is>
      </c>
      <c r="C21" s="3" t="inlineStr">
        <is>
          <t>Quote above approved amount</t>
        </is>
      </c>
      <c r="D21" s="3" t="inlineStr">
        <is>
          <t>Approver + Owner</t>
        </is>
      </c>
      <c r="E21" s="3" t="inlineStr">
        <is>
          <t>₦450k approved</t>
        </is>
      </c>
      <c r="F21" s="3" t="inlineStr">
        <is>
          <t>Staff quotes ₦485k → Owner tries to accept.</t>
        </is>
      </c>
      <c r="G21" s="3" t="inlineStr">
        <is>
          <t>Accept blocked: ORGANIZATION_REAPPROVAL_REQUIRED; after Approver reapproves ₦485k accept works; no duplicate draft/quote; history shows both approvals.</t>
        </is>
      </c>
      <c r="H21" s="3" t="inlineStr">
        <is>
          <t>PRD-05; T11-04b</t>
        </is>
      </c>
      <c r="I21" s="3" t="inlineStr">
        <is>
          <t>P0</t>
        </is>
      </c>
      <c r="J21" s="3" t="inlineStr">
        <is>
          <t>1440</t>
        </is>
      </c>
      <c r="K21" s="3" t="inlineStr">
        <is>
          <t>Not run</t>
        </is>
      </c>
      <c r="L21" s="3" t="inlineStr"/>
      <c r="M21" s="3" t="inlineStr"/>
      <c r="N21" s="3" t="inlineStr"/>
    </row>
    <row r="22">
      <c r="A22" s="3" t="inlineStr">
        <is>
          <t>J07.1</t>
        </is>
      </c>
      <c r="B22" s="3" t="inlineStr">
        <is>
          <t>J07 Logo versions</t>
        </is>
      </c>
      <c r="C22" s="3" t="inlineStr">
        <is>
          <t>Logo V5 review with V4 valid</t>
        </is>
      </c>
      <c r="D22" s="3" t="inlineStr">
        <is>
          <t>ACME Admin Bola + Staff</t>
        </is>
      </c>
      <c r="E22" s="3" t="inlineStr">
        <is>
          <t>Template uses V4</t>
        </is>
      </c>
      <c r="F22" s="3" t="inlineStr">
        <is>
          <t>Assets → upload V5 → staff review. Check template.</t>
        </is>
      </c>
      <c r="G22" s="3" t="inlineStr">
        <is>
          <t>V4 PRODUCTION_READY, V5 needs review; template 'available using V4'.</t>
        </is>
      </c>
      <c r="H22" s="3" t="inlineStr">
        <is>
          <t>PRD-05; T11-01, T11-01b</t>
        </is>
      </c>
      <c r="I22" s="3" t="inlineStr">
        <is>
          <t>P1</t>
        </is>
      </c>
      <c r="J22" s="3" t="inlineStr">
        <is>
          <t>1440</t>
        </is>
      </c>
      <c r="K22" s="3" t="inlineStr">
        <is>
          <t>Not run</t>
        </is>
      </c>
      <c r="L22" s="3" t="inlineStr"/>
      <c r="M22" s="3" t="inlineStr"/>
      <c r="N22" s="3" t="inlineStr"/>
    </row>
    <row r="23">
      <c r="A23" s="3" t="inlineStr">
        <is>
          <t>J07.2</t>
        </is>
      </c>
      <c r="B23" s="3" t="inlineStr">
        <is>
          <t>J07 Logo versions</t>
        </is>
      </c>
      <c r="C23" s="3" t="inlineStr">
        <is>
          <t>Retire V4</t>
        </is>
      </c>
      <c r="D23" s="3" t="inlineStr">
        <is>
          <t>ACME Admin</t>
        </is>
      </c>
      <c r="E23" s="3" t="inlineStr">
        <is>
          <t>J07.1</t>
        </is>
      </c>
      <c r="F23" s="3" t="inlineStr">
        <is>
          <t>Retire V4 for new use → open template → order from template.</t>
        </is>
      </c>
      <c r="G23" s="3" t="inlineStr">
        <is>
          <t>Template BLOCKED — asset review required; ordering blocked; historical orders still show V4.</t>
        </is>
      </c>
      <c r="H23" s="3" t="inlineStr">
        <is>
          <t>PRD-05; T11-01b</t>
        </is>
      </c>
      <c r="I23" s="3" t="inlineStr">
        <is>
          <t>P1</t>
        </is>
      </c>
      <c r="J23" s="3" t="inlineStr">
        <is>
          <t>1440</t>
        </is>
      </c>
      <c r="K23" s="3" t="inlineStr">
        <is>
          <t>Not run</t>
        </is>
      </c>
      <c r="L23" s="3" t="inlineStr"/>
      <c r="M23" s="3" t="inlineStr"/>
      <c r="N23" s="3" t="inlineStr"/>
    </row>
    <row r="24">
      <c r="A24" s="3" t="inlineStr">
        <is>
          <t>J08.1</t>
        </is>
      </c>
      <c r="B24" s="3" t="inlineStr">
        <is>
          <t>J08 Location template order</t>
        </is>
      </c>
      <c r="C24" s="3" t="inlineStr">
        <is>
          <t>Lekki manager orders from template</t>
        </is>
      </c>
      <c r="D24" s="3" t="inlineStr">
        <is>
          <t>Location Mgr Adaeze</t>
        </is>
      </c>
      <c r="E24" s="3" t="inlineStr">
        <is>
          <t>Approved Staff Polo template</t>
        </is>
      </c>
      <c r="F24" s="3" t="inlineStr">
        <is>
          <t>Templates → Staff Polo → Order: qty, sizes, date, Lekki delivery.</t>
        </is>
      </c>
      <c r="G24" s="3" t="inlineStr">
        <is>
          <t>Product/brand/placement locked; only Lekki records visible; approval triggered if over threshold; separate from Exact Reorder.</t>
        </is>
      </c>
      <c r="H24" s="3" t="inlineStr">
        <is>
          <t>PRD-05; T11-01c</t>
        </is>
      </c>
      <c r="I24" s="3" t="inlineStr">
        <is>
          <t>P0</t>
        </is>
      </c>
      <c r="J24" s="3" t="inlineStr">
        <is>
          <t>375 + 1440</t>
        </is>
      </c>
      <c r="K24" s="3" t="inlineStr">
        <is>
          <t>Not run</t>
        </is>
      </c>
      <c r="L24" s="3" t="inlineStr"/>
      <c r="M24" s="3" t="inlineStr"/>
      <c r="N24" s="3" t="inlineStr"/>
    </row>
    <row r="25">
      <c r="A25" s="3" t="inlineStr">
        <is>
          <t>J09.1</t>
        </is>
      </c>
      <c r="B25" s="3" t="inlineStr">
        <is>
          <t>J09 Store individual</t>
        </is>
      </c>
      <c r="C25" s="3" t="inlineStr">
        <is>
          <t>Employee individual order</t>
        </is>
      </c>
      <c r="D25" s="3" t="inlineStr">
        <is>
          <t>Employee (store link)</t>
        </is>
      </c>
      <c r="E25" s="3" t="inlineStr">
        <is>
          <t>ACME store in individual mode</t>
        </is>
      </c>
      <c r="F25" s="3" t="inlineStr">
        <is>
          <t>Open store (/l or store link) → Polo → size, name, branch → submit.</t>
        </is>
      </c>
      <c r="G25" s="3" t="inlineStr">
        <is>
          <t>Individual company order request created; allowance applied if set; does not join a collection; plain-language confirmation.</t>
        </is>
      </c>
      <c r="H25" s="3" t="inlineStr">
        <is>
          <t>PRD-05; T12-06, T12-06b</t>
        </is>
      </c>
      <c r="I25" s="3" t="inlineStr">
        <is>
          <t>P0</t>
        </is>
      </c>
      <c r="J25" s="3" t="inlineStr">
        <is>
          <t>375</t>
        </is>
      </c>
      <c r="K25" s="3" t="inlineStr">
        <is>
          <t>Not run</t>
        </is>
      </c>
      <c r="L25" s="3" t="inlineStr"/>
      <c r="M25" s="3" t="inlineStr"/>
      <c r="N25" s="3" t="inlineStr"/>
    </row>
    <row r="26">
      <c r="A26" s="3" t="inlineStr">
        <is>
          <t>J10.1</t>
        </is>
      </c>
      <c r="B26" s="3" t="inlineStr">
        <is>
          <t>J10 Store collection</t>
        </is>
      </c>
      <c r="C26" s="3" t="inlineStr">
        <is>
          <t>Employee submission in collection mode</t>
        </is>
      </c>
      <c r="D26" s="3" t="inlineStr">
        <is>
          <t>Employee + Owner</t>
        </is>
      </c>
      <c r="E26" s="3" t="inlineStr">
        <is>
          <t>Store in collection mode</t>
        </is>
      </c>
      <c r="F26" s="3" t="inlineStr">
        <is>
          <t>Employee submits → Owner closes collection → reviews → Order Draft.</t>
        </is>
      </c>
      <c r="G26" s="3" t="inlineStr">
        <is>
          <t>Submission alone creates no order; draft only after review.</t>
        </is>
      </c>
      <c r="H26" s="3" t="inlineStr">
        <is>
          <t>PRD-05; T12-06</t>
        </is>
      </c>
      <c r="I26" s="3" t="inlineStr">
        <is>
          <t>P1</t>
        </is>
      </c>
      <c r="J26" s="3" t="inlineStr">
        <is>
          <t>375 + 1440</t>
        </is>
      </c>
      <c r="K26" s="3" t="inlineStr">
        <is>
          <t>Not run</t>
        </is>
      </c>
      <c r="L26" s="3" t="inlineStr"/>
      <c r="M26" s="3" t="inlineStr"/>
      <c r="N26" s="3" t="inlineStr"/>
    </row>
    <row r="27">
      <c r="A27" s="3" t="inlineStr">
        <is>
          <t>J11.1</t>
        </is>
      </c>
      <c r="B27" s="3" t="inlineStr">
        <is>
          <t>J11 Reopen boundaries</t>
        </is>
      </c>
      <c r="C27" s="3" t="inlineStr">
        <is>
          <t>Reopen with and without draft</t>
        </is>
      </c>
      <c r="D27" s="3" t="inlineStr">
        <is>
          <t>ACME Owner</t>
        </is>
      </c>
      <c r="E27" s="3" t="inlineStr">
        <is>
          <t>Closed collection</t>
        </is>
      </c>
      <c r="F27" s="3" t="inlineStr">
        <is>
          <t>Reopen with no draft; then close, create draft, reopen.</t>
        </is>
      </c>
      <c r="G27" s="3" t="inlineStr">
        <is>
          <t>First reopens freely; second warns and marks draft STALE — COLLECTION CHANGED; reclose needs regenerate.</t>
        </is>
      </c>
      <c r="H27" s="3" t="inlineStr">
        <is>
          <t>PRD-05; T12-03b</t>
        </is>
      </c>
      <c r="I27" s="3" t="inlineStr">
        <is>
          <t>P1</t>
        </is>
      </c>
      <c r="J27" s="3" t="inlineStr">
        <is>
          <t>1440</t>
        </is>
      </c>
      <c r="K27" s="3" t="inlineStr">
        <is>
          <t>Not run</t>
        </is>
      </c>
      <c r="L27" s="3" t="inlineStr"/>
      <c r="M27" s="3" t="inlineStr"/>
      <c r="N27" s="3" t="inlineStr"/>
    </row>
    <row r="28">
      <c r="A28" s="3" t="inlineStr">
        <is>
          <t>J11.2</t>
        </is>
      </c>
      <c r="B28" s="3" t="inlineStr">
        <is>
          <t>J11 Reopen boundaries</t>
        </is>
      </c>
      <c r="C28" s="3" t="inlineStr">
        <is>
          <t>Locked after quote / production</t>
        </is>
      </c>
      <c r="D28" s="3" t="inlineStr">
        <is>
          <t>ACME Owner + Participant</t>
        </is>
      </c>
      <c r="E28" s="3" t="inlineStr">
        <is>
          <t>Draft quoted / in production</t>
        </is>
      </c>
      <c r="F28" s="3" t="inlineStr">
        <is>
          <t>Try reopen / participant edit after quote and after production starts.</t>
        </is>
      </c>
      <c r="G28" s="3" t="inlineStr">
        <is>
          <t>Reopen replaced by change request path; participant data read-only once production starts.</t>
        </is>
      </c>
      <c r="H28" s="3" t="inlineStr">
        <is>
          <t>PRD-05</t>
        </is>
      </c>
      <c r="I28" s="3" t="inlineStr">
        <is>
          <t>P1</t>
        </is>
      </c>
      <c r="J28" s="3" t="inlineStr">
        <is>
          <t>1440</t>
        </is>
      </c>
      <c r="K28" s="3" t="inlineStr">
        <is>
          <t>Not run</t>
        </is>
      </c>
      <c r="L28" s="3" t="inlineStr"/>
      <c r="M28" s="3" t="inlineStr"/>
      <c r="N28" s="3" t="inlineStr"/>
    </row>
    <row r="29">
      <c r="A29" s="3" t="inlineStr">
        <is>
          <t>J12.1</t>
        </is>
      </c>
      <c r="B29" s="3" t="inlineStr">
        <is>
          <t>J12 Paid participant removal</t>
        </is>
      </c>
      <c r="C29" s="3" t="inlineStr">
        <is>
          <t>Remove a paid participant</t>
        </is>
      </c>
      <c r="D29" s="3" t="inlineStr">
        <is>
          <t>ACME Owner + Staff Ada</t>
        </is>
      </c>
      <c r="E29" s="3" t="inlineStr">
        <is>
          <t>Participant-paid collection, 1 paid</t>
        </is>
      </c>
      <c r="F29" s="3" t="inlineStr">
        <is>
          <t>Remove paid participant → admin Refunds.</t>
        </is>
      </c>
      <c r="G29" s="3" t="inlineStr">
        <is>
          <t>PAID_PARTICIPANT_REMOVED; aggregate drops; payment stays recorded; PAYMENT_RESOLUTION_REQUIRED; staff refund/credit resolves it.</t>
        </is>
      </c>
      <c r="H29" s="3" t="inlineStr">
        <is>
          <t>PRD-05; T12-03, T13-05</t>
        </is>
      </c>
      <c r="I29" s="3" t="inlineStr">
        <is>
          <t>P0</t>
        </is>
      </c>
      <c r="J29" s="3" t="inlineStr">
        <is>
          <t>1440</t>
        </is>
      </c>
      <c r="K29" s="3" t="inlineStr">
        <is>
          <t>Not run</t>
        </is>
      </c>
      <c r="L29" s="3" t="inlineStr"/>
      <c r="M29" s="3" t="inlineStr"/>
      <c r="N29" s="3" t="inlineStr"/>
    </row>
    <row r="30">
      <c r="A30" s="3" t="inlineStr">
        <is>
          <t>J13.1</t>
        </is>
      </c>
      <c r="B30" s="3" t="inlineStr">
        <is>
          <t>J13 Multi-location delivery</t>
        </is>
      </c>
      <c r="C30" s="3" t="inlineStr">
        <is>
          <t>Lekki + VI split shipments</t>
        </is>
      </c>
      <c r="D30" s="3" t="inlineStr">
        <is>
          <t>Owner + Staff</t>
        </is>
      </c>
      <c r="E30" s="3" t="inlineStr">
        <is>
          <t>Draft with 2 groups</t>
        </is>
      </c>
      <c r="F30" s="3" t="inlineStr">
        <is>
          <t>Accept quote, pay, produce, create one shipment per branch.</t>
        </is>
      </c>
      <c r="G30" s="3" t="inlineStr">
        <is>
          <t>Order shows two destinations; partial delivery states per location; managers see only their branch.</t>
        </is>
      </c>
      <c r="H30" s="3" t="inlineStr">
        <is>
          <t>PRD-04/05; T08-01</t>
        </is>
      </c>
      <c r="I30" s="3" t="inlineStr">
        <is>
          <t>P1</t>
        </is>
      </c>
      <c r="J30" s="3" t="inlineStr">
        <is>
          <t>1440</t>
        </is>
      </c>
      <c r="K30" s="3" t="inlineStr">
        <is>
          <t>Not run</t>
        </is>
      </c>
      <c r="L30" s="3" t="inlineStr"/>
      <c r="M30" s="3" t="inlineStr"/>
      <c r="N30" s="3" t="inlineStr"/>
    </row>
    <row r="31">
      <c r="A31" s="3" t="inlineStr">
        <is>
          <t>J14.1</t>
        </is>
      </c>
      <c r="B31" s="3" t="inlineStr">
        <is>
          <t>J14 Guest commerce</t>
        </is>
      </c>
      <c r="C31" s="3" t="inlineStr">
        <is>
          <t>Full guest path, no account</t>
        </is>
      </c>
      <c r="D31" s="3" t="inlineStr">
        <is>
          <t>Guest</t>
        </is>
      </c>
      <c r="E31" s="3" t="inlineStr">
        <is>
          <t>Fresh browser</t>
        </is>
      </c>
      <c r="F31" s="3" t="inlineStr">
        <is>
          <t>Configure → quote or checkout → pay → proof → track via /track using order ref + email.</t>
        </is>
      </c>
      <c r="G31" s="3" t="inlineStr">
        <is>
          <t>No account or workspace required at any step; secure links reopen same record; optional account offer only.</t>
        </is>
      </c>
      <c r="H31" s="3" t="inlineStr">
        <is>
          <t>PRD-00 §5; T01-02, T07-03</t>
        </is>
      </c>
      <c r="I31" s="3" t="inlineStr">
        <is>
          <t>P0</t>
        </is>
      </c>
      <c r="J31" s="3" t="inlineStr">
        <is>
          <t>375</t>
        </is>
      </c>
      <c r="K31" s="3" t="inlineStr">
        <is>
          <t>Not run</t>
        </is>
      </c>
      <c r="L31" s="3" t="inlineStr"/>
      <c r="M31" s="3" t="inlineStr"/>
      <c r="N31" s="3" t="inlineStr"/>
    </row>
    <row r="32">
      <c r="A32" s="3" t="inlineStr">
        <is>
          <t>J14.2</t>
        </is>
      </c>
      <c r="B32" s="3" t="inlineStr">
        <is>
          <t>J14 Guest commerce</t>
        </is>
      </c>
      <c r="C32" s="3" t="inlineStr">
        <is>
          <t>Link guest history to new account</t>
        </is>
      </c>
      <c r="D32" s="3" t="inlineStr">
        <is>
          <t>Guest → Customer</t>
        </is>
      </c>
      <c r="E32" s="3" t="inlineStr">
        <is>
          <t>J14.1 done</t>
        </is>
      </c>
      <c r="F32" s="3" t="inlineStr">
        <is>
          <t>Sign up with same email → verify → /account.</t>
        </is>
      </c>
      <c r="G32" s="3" t="inlineStr">
        <is>
          <t>Previous guest orders appear in history after linking.</t>
        </is>
      </c>
      <c r="H32" s="3" t="inlineStr">
        <is>
          <t>PRD-01; T09-01</t>
        </is>
      </c>
      <c r="I32" s="3" t="inlineStr">
        <is>
          <t>P1</t>
        </is>
      </c>
      <c r="J32" s="3" t="inlineStr">
        <is>
          <t>1440</t>
        </is>
      </c>
      <c r="K32" s="3" t="inlineStr">
        <is>
          <t>Not run</t>
        </is>
      </c>
      <c r="L32" s="3" t="inlineStr"/>
      <c r="M32" s="3" t="inlineStr"/>
      <c r="N32" s="3" t="inlineStr"/>
    </row>
    <row r="33">
      <c r="A33" s="3" t="inlineStr">
        <is>
          <t>J15.1</t>
        </is>
      </c>
      <c r="B33" s="3" t="inlineStr">
        <is>
          <t>J15 Help handoff</t>
        </is>
      </c>
      <c r="C33" s="3" t="inlineStr">
        <is>
          <t>Need help from each record</t>
        </is>
      </c>
      <c r="D33" s="3" t="inlineStr">
        <is>
          <t>Guest / Customer</t>
        </is>
      </c>
      <c r="E33" s="3" t="inlineStr">
        <is>
          <t>Records from J01</t>
        </is>
      </c>
      <c r="F33" s="3" t="inlineStr">
        <is>
          <t>Click Need help on configurator, project, quote, proof and order; submit.</t>
        </is>
      </c>
      <c r="G33" s="3" t="inlineStr">
        <is>
          <t>Request references the exact record and version; staff see it in Admin → Help with context; source record unchanged.</t>
        </is>
      </c>
      <c r="H33" s="3" t="inlineStr">
        <is>
          <t>PRD-00 §18; T01-02</t>
        </is>
      </c>
      <c r="I33" s="3" t="inlineStr">
        <is>
          <t>P1</t>
        </is>
      </c>
      <c r="J33" s="3" t="inlineStr">
        <is>
          <t>375 + 1440</t>
        </is>
      </c>
      <c r="K33" s="3" t="inlineStr">
        <is>
          <t>Not run</t>
        </is>
      </c>
      <c r="L33" s="3" t="inlineStr"/>
      <c r="M33" s="3" t="inlineStr"/>
      <c r="N33" s="3" t="inlineStr"/>
    </row>
    <row r="34">
      <c r="A34" s="3" t="inlineStr">
        <is>
          <t>J16.1</t>
        </is>
      </c>
      <c r="B34" s="3" t="inlineStr">
        <is>
          <t>J16 Failure &amp; recovery</t>
        </is>
      </c>
      <c r="C34" s="3" t="inlineStr">
        <is>
          <t>Autosave failure</t>
        </is>
      </c>
      <c r="D34" s="3" t="inlineStr">
        <is>
          <t>Guest</t>
        </is>
      </c>
      <c r="E34" s="3" t="inlineStr">
        <is>
          <t>Project builder open</t>
        </is>
      </c>
      <c r="F34" s="3" t="inlineStr">
        <is>
          <t>Go offline mid-step (DevTools offline) → edit → back online.</t>
        </is>
      </c>
      <c r="G34" s="3" t="inlineStr">
        <is>
          <t>Clear 'not saved' state; retries on same project; no duplicate project.</t>
        </is>
      </c>
      <c r="H34" s="3" t="inlineStr">
        <is>
          <t>PRD-03; T05-01</t>
        </is>
      </c>
      <c r="I34" s="3" t="inlineStr">
        <is>
          <t>P1</t>
        </is>
      </c>
      <c r="J34" s="3" t="inlineStr">
        <is>
          <t>375</t>
        </is>
      </c>
      <c r="K34" s="3" t="inlineStr">
        <is>
          <t>Not run</t>
        </is>
      </c>
      <c r="L34" s="3" t="inlineStr"/>
      <c r="M34" s="3" t="inlineStr"/>
      <c r="N34" s="3" t="inlineStr"/>
    </row>
    <row r="35">
      <c r="A35" s="3" t="inlineStr">
        <is>
          <t>J16.2</t>
        </is>
      </c>
      <c r="B35" s="3" t="inlineStr">
        <is>
          <t>J16 Failure &amp; recovery</t>
        </is>
      </c>
      <c r="C35" s="3" t="inlineStr">
        <is>
          <t>Payment failure then retry</t>
        </is>
      </c>
      <c r="D35" s="3" t="inlineStr">
        <is>
          <t>Guest</t>
        </is>
      </c>
      <c r="E35" s="3" t="inlineStr">
        <is>
          <t>Quote accepted</t>
        </is>
      </c>
      <c r="F35" s="3" t="inlineStr">
        <is>
          <t>Pay with Paystack failing test card / close window → retry with good card.</t>
        </is>
      </c>
      <c r="G35" s="3" t="inlineStr">
        <is>
          <t>PAYMENT_FAILED shown with retry; retry on same order; one order, both attempts in history.</t>
        </is>
      </c>
      <c r="H35" s="3" t="inlineStr">
        <is>
          <t>TECH-05; T04-03, T00-13</t>
        </is>
      </c>
      <c r="I35" s="3" t="inlineStr">
        <is>
          <t>P0</t>
        </is>
      </c>
      <c r="J35" s="3" t="inlineStr">
        <is>
          <t>375 + 1440</t>
        </is>
      </c>
      <c r="K35" s="3" t="inlineStr">
        <is>
          <t>Not run</t>
        </is>
      </c>
      <c r="L35" s="3" t="inlineStr"/>
      <c r="M35" s="3" t="inlineStr"/>
      <c r="N35" s="3" t="inlineStr"/>
    </row>
    <row r="36">
      <c r="A36" s="3" t="inlineStr">
        <is>
          <t>J16.3</t>
        </is>
      </c>
      <c r="B36" s="3" t="inlineStr">
        <is>
          <t>J16 Failure &amp; recovery</t>
        </is>
      </c>
      <c r="C36" s="3" t="inlineStr">
        <is>
          <t>Artwork hold, replacement proof, shipment exception</t>
        </is>
      </c>
      <c r="D36" s="3" t="inlineStr">
        <is>
          <t>Staff + Guest</t>
        </is>
      </c>
      <c r="E36" s="3" t="inlineStr">
        <is>
          <t>Order in production</t>
        </is>
      </c>
      <c r="F36" s="3" t="inlineStr">
        <is>
          <t>Put item ON_HOLD (artwork) → new proof version → approve → resume → mark shipment EXCEPTION → resolve → deliver.</t>
        </is>
      </c>
      <c r="G36" s="3" t="inlineStr">
        <is>
          <t>Hold reason visible to customer; proof versions kept; exception resolves to DELIVERED; full history on order.</t>
        </is>
      </c>
      <c r="H36" s="3" t="inlineStr">
        <is>
          <t>PRD-04; T07-01, T08-01</t>
        </is>
      </c>
      <c r="I36" s="3" t="inlineStr">
        <is>
          <t>P1</t>
        </is>
      </c>
      <c r="J36" s="3" t="inlineStr">
        <is>
          <t>1440</t>
        </is>
      </c>
      <c r="K36" s="3" t="inlineStr">
        <is>
          <t>Not run</t>
        </is>
      </c>
      <c r="L36" s="3" t="inlineStr"/>
      <c r="M36" s="3" t="inlineStr"/>
      <c r="N36" s="3" t="inlineStr"/>
    </row>
  </sheetData>
  <autoFilter ref="A1:N36"/>
  <conditionalFormatting sqref="K2:K3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K2:K36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18" customWidth="1" min="4" max="4"/>
    <col width="30" customWidth="1" min="5" max="5"/>
    <col width="60" customWidth="1" min="6" max="6"/>
    <col width="60" customWidth="1" min="7" max="7"/>
    <col width="16" customWidth="1" min="8" max="8"/>
    <col width="8" customWidth="1" min="9" max="9"/>
    <col width="10" customWidth="1" min="10" max="10"/>
    <col width="10" customWidth="1" min="11" max="11"/>
    <col width="12" customWidth="1" min="12" max="12"/>
    <col width="11" customWidth="1" min="13" max="13"/>
    <col width="30" customWidth="1" min="14" max="14"/>
  </cols>
  <sheetData>
    <row r="1">
      <c r="A1" s="6" t="inlineStr">
        <is>
          <t>ID</t>
        </is>
      </c>
      <c r="B1" s="6" t="inlineStr">
        <is>
          <t>Area</t>
        </is>
      </c>
      <c r="C1" s="6" t="inlineStr">
        <is>
          <t>Scenario</t>
        </is>
      </c>
      <c r="D1" s="6" t="inlineStr">
        <is>
          <t>Persona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Refs</t>
        </is>
      </c>
      <c r="I1" s="6" t="inlineStr">
        <is>
          <t>Priority</t>
        </is>
      </c>
      <c r="J1" s="6" t="inlineStr">
        <is>
          <t>Viewport</t>
        </is>
      </c>
      <c r="K1" s="6" t="inlineStr">
        <is>
          <t>Result</t>
        </is>
      </c>
      <c r="L1" s="6" t="inlineStr">
        <is>
          <t>Tester</t>
        </is>
      </c>
      <c r="M1" s="6" t="inlineStr">
        <is>
          <t>Date</t>
        </is>
      </c>
      <c r="N1" s="6" t="inlineStr">
        <is>
          <t>Bug / notes</t>
        </is>
      </c>
    </row>
    <row r="2">
      <c r="A2" s="3" t="inlineStr">
        <is>
          <t>F01</t>
        </is>
      </c>
      <c r="B2" s="3" t="inlineStr">
        <is>
          <t>Public web</t>
        </is>
      </c>
      <c r="C2" s="3" t="inlineStr">
        <is>
          <t>Homepage, nav, footer</t>
        </is>
      </c>
      <c r="D2" s="3" t="inlineStr">
        <is>
          <t>Guest</t>
        </is>
      </c>
      <c r="E2" s="3" t="inlineStr"/>
      <c r="F2" s="3" t="inlineStr">
        <is>
          <t>Open /, use mega-nav, footer links, wordmark.</t>
        </is>
      </c>
      <c r="G2" s="3" t="inlineStr">
        <is>
          <t>No broken links; nav works by keyboard and on mobile menu.</t>
        </is>
      </c>
      <c r="H2" s="3" t="inlineStr">
        <is>
          <t>PRD-01; T02-03</t>
        </is>
      </c>
      <c r="I2" s="3" t="inlineStr">
        <is>
          <t>P1</t>
        </is>
      </c>
      <c r="J2" s="3" t="inlineStr">
        <is>
          <t>375 + 1440</t>
        </is>
      </c>
      <c r="K2" s="3" t="inlineStr">
        <is>
          <t>Not run</t>
        </is>
      </c>
      <c r="L2" s="3" t="inlineStr"/>
      <c r="M2" s="3" t="inlineStr"/>
      <c r="N2" s="3" t="inlineStr"/>
    </row>
    <row r="3">
      <c r="A3" s="3" t="inlineStr">
        <is>
          <t>F02</t>
        </is>
      </c>
      <c r="B3" s="3" t="inlineStr">
        <is>
          <t>Public web</t>
        </is>
      </c>
      <c r="C3" s="3" t="inlineStr">
        <is>
          <t>Product directory &amp; category hubs</t>
        </is>
      </c>
      <c r="D3" s="3" t="inlineStr">
        <is>
          <t>Guest</t>
        </is>
      </c>
      <c r="E3" s="3" t="inlineStr"/>
      <c r="F3" s="3" t="inlineStr">
        <is>
          <t>/products filters; /categories/[slug].</t>
        </is>
      </c>
      <c r="G3" s="3" t="inlineStr">
        <is>
          <t>Correct products per category; empty states; prices show 'from'.</t>
        </is>
      </c>
      <c r="H3" s="3" t="inlineStr">
        <is>
          <t>PRD-01; T02-03</t>
        </is>
      </c>
      <c r="I3" s="3" t="inlineStr">
        <is>
          <t>P1</t>
        </is>
      </c>
      <c r="J3" s="3" t="inlineStr">
        <is>
          <t>375 + 1440</t>
        </is>
      </c>
      <c r="K3" s="3" t="inlineStr">
        <is>
          <t>Not run</t>
        </is>
      </c>
      <c r="L3" s="3" t="inlineStr"/>
      <c r="M3" s="3" t="inlineStr"/>
      <c r="N3" s="3" t="inlineStr"/>
    </row>
    <row r="4">
      <c r="A4" s="3" t="inlineStr">
        <is>
          <t>F03</t>
        </is>
      </c>
      <c r="B4" s="3" t="inlineStr">
        <is>
          <t>Public web</t>
        </is>
      </c>
      <c r="C4" s="3" t="inlineStr">
        <is>
          <t>Search</t>
        </is>
      </c>
      <c r="D4" s="3" t="inlineStr">
        <is>
          <t>Guest</t>
        </is>
      </c>
      <c r="E4" s="3" t="inlineStr"/>
      <c r="F4" s="3" t="inlineStr">
        <is>
          <t>/search with exact, typo, synonym and nonsense queries.</t>
        </is>
      </c>
      <c r="G4" s="3" t="inlineStr">
        <is>
          <t>Relevant results; typo tolerance; useful zero-result page; search logged in admin search report.</t>
        </is>
      </c>
      <c r="H4" s="3" t="inlineStr">
        <is>
          <t>PRD-01; T14-01b</t>
        </is>
      </c>
      <c r="I4" s="3" t="inlineStr">
        <is>
          <t>P1</t>
        </is>
      </c>
      <c r="J4" s="3" t="inlineStr">
        <is>
          <t>375 + 1440</t>
        </is>
      </c>
      <c r="K4" s="3" t="inlineStr">
        <is>
          <t>Not run</t>
        </is>
      </c>
      <c r="L4" s="3" t="inlineStr"/>
      <c r="M4" s="3" t="inlineStr"/>
      <c r="N4" s="3" t="inlineStr"/>
    </row>
    <row r="5">
      <c r="A5" s="3" t="inlineStr">
        <is>
          <t>F04</t>
        </is>
      </c>
      <c r="B5" s="3" t="inlineStr">
        <is>
          <t>Public web</t>
        </is>
      </c>
      <c r="C5" s="3" t="inlineStr">
        <is>
          <t>Content pages</t>
        </is>
      </c>
      <c r="D5" s="3" t="inlineStr">
        <is>
          <t>Guest</t>
        </is>
      </c>
      <c r="E5" s="3" t="inlineStr"/>
      <c r="F5" s="3" t="inlineStr">
        <is>
          <t>/about, /contact, /our-work, /resources, /privacy, /privacy/processors, /photo-credits.</t>
        </is>
      </c>
      <c r="G5" s="3" t="inlineStr">
        <is>
          <t>All render; no placeholder copy; contact form submits.</t>
        </is>
      </c>
      <c r="H5" s="3" t="inlineStr">
        <is>
          <t>PRD-01; T02-06, T15-03</t>
        </is>
      </c>
      <c r="I5" s="3" t="inlineStr">
        <is>
          <t>P2</t>
        </is>
      </c>
      <c r="J5" s="3" t="inlineStr">
        <is>
          <t>375 + 1440</t>
        </is>
      </c>
      <c r="K5" s="3" t="inlineStr">
        <is>
          <t>Not run</t>
        </is>
      </c>
      <c r="L5" s="3" t="inlineStr"/>
      <c r="M5" s="3" t="inlineStr"/>
      <c r="N5" s="3" t="inlineStr"/>
    </row>
    <row r="6">
      <c r="A6" s="3" t="inlineStr">
        <is>
          <t>F05</t>
        </is>
      </c>
      <c r="B6" s="3" t="inlineStr">
        <is>
          <t>SEO</t>
        </is>
      </c>
      <c r="C6" s="3" t="inlineStr">
        <is>
          <t>Indexing rules</t>
        </is>
      </c>
      <c r="D6" s="3" t="inlineStr">
        <is>
          <t>Guest</t>
        </is>
      </c>
      <c r="E6" s="3" t="inlineStr"/>
      <c r="F6" s="3" t="inlineStr">
        <is>
          <t>View source on public pages and on /quotes, /orders, /workspace, /g, /start pages; open /sitemap.xml and /robots.txt.</t>
        </is>
      </c>
      <c r="G6" s="3" t="inlineStr">
        <is>
          <t>Public pages have canonical + JSON-LD; private pages NOINDEX and not in sitemap; no order data in metadata.</t>
        </is>
      </c>
      <c r="H6" s="3" t="inlineStr">
        <is>
          <t>PRD-01; T14-01</t>
        </is>
      </c>
      <c r="I6" s="3" t="inlineStr">
        <is>
          <t>P1</t>
        </is>
      </c>
      <c r="J6" s="3" t="inlineStr">
        <is>
          <t>1440</t>
        </is>
      </c>
      <c r="K6" s="3" t="inlineStr">
        <is>
          <t>Not run</t>
        </is>
      </c>
      <c r="L6" s="3" t="inlineStr"/>
      <c r="M6" s="3" t="inlineStr"/>
      <c r="N6" s="3" t="inlineStr"/>
    </row>
    <row r="7">
      <c r="A7" s="3" t="inlineStr">
        <is>
          <t>F06</t>
        </is>
      </c>
      <c r="B7" s="3" t="inlineStr">
        <is>
          <t>SEO</t>
        </is>
      </c>
      <c r="C7" s="3" t="inlineStr">
        <is>
          <t>Content preview link</t>
        </is>
      </c>
      <c r="D7" s="3" t="inlineStr">
        <is>
          <t>Staff Ada</t>
        </is>
      </c>
      <c r="E7" s="3" t="inlineStr">
        <is>
          <t>Draft content page</t>
        </is>
      </c>
      <c r="F7" s="3" t="inlineStr">
        <is>
          <t>Admin → Content → preview → open /preview/content/[token] signed out.</t>
        </is>
      </c>
      <c r="G7" s="3" t="inlineStr">
        <is>
          <t>Preview renders; NOINDEX; token expires.</t>
        </is>
      </c>
      <c r="H7" s="3" t="inlineStr">
        <is>
          <t>T02-06</t>
        </is>
      </c>
      <c r="I7" s="3" t="inlineStr">
        <is>
          <t>P2</t>
        </is>
      </c>
      <c r="J7" s="3" t="inlineStr">
        <is>
          <t>1440</t>
        </is>
      </c>
      <c r="K7" s="3" t="inlineStr">
        <is>
          <t>Not run</t>
        </is>
      </c>
      <c r="L7" s="3" t="inlineStr"/>
      <c r="M7" s="3" t="inlineStr"/>
      <c r="N7" s="3" t="inlineStr"/>
    </row>
    <row r="8">
      <c r="A8" s="3" t="inlineStr">
        <is>
          <t>F07</t>
        </is>
      </c>
      <c r="B8" s="3" t="inlineStr">
        <is>
          <t>Configurator</t>
        </is>
      </c>
      <c r="C8" s="3" t="inlineStr">
        <is>
          <t>Each product family configures</t>
        </is>
      </c>
      <c r="D8" s="3" t="inlineStr">
        <is>
          <t>Guest</t>
        </is>
      </c>
      <c r="E8" s="3" t="inlineStr"/>
      <c r="F8" s="3" t="inlineStr">
        <is>
          <t>Configure one product per family (cards, garments, large format, signage, bags, etc.).</t>
        </is>
      </c>
      <c r="G8" s="3" t="inlineStr">
        <is>
          <t>Every option set valid; invalid combos prevented with reason; price state correct.</t>
        </is>
      </c>
      <c r="H8" s="3" t="inlineStr">
        <is>
          <t>PRD-02; T03-01..08</t>
        </is>
      </c>
      <c r="I8" s="3" t="inlineStr">
        <is>
          <t>P0</t>
        </is>
      </c>
      <c r="J8" s="3" t="inlineStr">
        <is>
          <t>375 + 1440</t>
        </is>
      </c>
      <c r="K8" s="3" t="inlineStr">
        <is>
          <t>Not run</t>
        </is>
      </c>
      <c r="L8" s="3" t="inlineStr"/>
      <c r="M8" s="3" t="inlineStr"/>
      <c r="N8" s="3" t="inlineStr"/>
    </row>
    <row r="9">
      <c r="A9" s="3" t="inlineStr">
        <is>
          <t>F08</t>
        </is>
      </c>
      <c r="B9" s="3" t="inlineStr">
        <is>
          <t>Configurator</t>
        </is>
      </c>
      <c r="C9" s="3" t="inlineStr">
        <is>
          <t>Artwork upload checks</t>
        </is>
      </c>
      <c r="D9" s="3" t="inlineStr">
        <is>
          <t>Guest</t>
        </is>
      </c>
      <c r="E9" s="3" t="inlineStr"/>
      <c r="F9" s="3" t="inlineStr">
        <is>
          <t>Upload valid PDF/PNG, low-res image, oversize file, wrong type.</t>
        </is>
      </c>
      <c r="G9" s="3" t="inlineStr">
        <is>
          <t>Preview shown; low-res warning; size/type rejected with message; file survives refresh.</t>
        </is>
      </c>
      <c r="H9" s="3" t="inlineStr">
        <is>
          <t>PRD-02; T01-05</t>
        </is>
      </c>
      <c r="I9" s="3" t="inlineStr">
        <is>
          <t>P0</t>
        </is>
      </c>
      <c r="J9" s="3" t="inlineStr">
        <is>
          <t>375 + 1440</t>
        </is>
      </c>
      <c r="K9" s="3" t="inlineStr">
        <is>
          <t>Not run</t>
        </is>
      </c>
      <c r="L9" s="3" t="inlineStr"/>
      <c r="M9" s="3" t="inlineStr"/>
      <c r="N9" s="3" t="inlineStr"/>
    </row>
    <row r="10">
      <c r="A10" s="3" t="inlineStr">
        <is>
          <t>F09</t>
        </is>
      </c>
      <c r="B10" s="3" t="inlineStr">
        <is>
          <t>Configurator</t>
        </is>
      </c>
      <c r="C10" s="3" t="inlineStr">
        <is>
          <t>Saved drafts</t>
        </is>
      </c>
      <c r="D10" s="3" t="inlineStr">
        <is>
          <t>Customer Chidi</t>
        </is>
      </c>
      <c r="E10" s="3" t="inlineStr"/>
      <c r="F10" s="3" t="inlineStr">
        <is>
          <t>Configure, leave, reopen via /configure/drafts/[id] and /account.</t>
        </is>
      </c>
      <c r="G10" s="3" t="inlineStr">
        <is>
          <t>Draft restores every choice; price updated notice if prices changed.</t>
        </is>
      </c>
      <c r="H10" s="3" t="inlineStr">
        <is>
          <t>PRD-02; T03-03, T13-01b</t>
        </is>
      </c>
      <c r="I10" s="3" t="inlineStr">
        <is>
          <t>P1</t>
        </is>
      </c>
      <c r="J10" s="3" t="inlineStr">
        <is>
          <t>1440</t>
        </is>
      </c>
      <c r="K10" s="3" t="inlineStr">
        <is>
          <t>Not run</t>
        </is>
      </c>
      <c r="L10" s="3" t="inlineStr"/>
      <c r="M10" s="3" t="inlineStr"/>
      <c r="N10" s="3" t="inlineStr"/>
    </row>
    <row r="11">
      <c r="A11" s="3" t="inlineStr">
        <is>
          <t>F10</t>
        </is>
      </c>
      <c r="B11" s="3" t="inlineStr">
        <is>
          <t>Configurator</t>
        </is>
      </c>
      <c r="C11" s="3" t="inlineStr">
        <is>
          <t>Custom large-format size</t>
        </is>
      </c>
      <c r="D11" s="3" t="inlineStr">
        <is>
          <t>Guest</t>
        </is>
      </c>
      <c r="E11" s="3" t="inlineStr"/>
      <c r="F11" s="3" t="inlineStr">
        <is>
          <t>Enter a custom size.</t>
        </is>
      </c>
      <c r="G11" s="3" t="inlineStr">
        <is>
          <t>Goes to quote path (no per-m² prices yet) without losing choices.</t>
        </is>
      </c>
      <c r="H11" s="3" t="inlineStr">
        <is>
          <t>PRD-02 COM-FR-060</t>
        </is>
      </c>
      <c r="I11" s="3" t="inlineStr">
        <is>
          <t>P2</t>
        </is>
      </c>
      <c r="J11" s="3" t="inlineStr">
        <is>
          <t>1440</t>
        </is>
      </c>
      <c r="K11" s="3" t="inlineStr">
        <is>
          <t>Not run</t>
        </is>
      </c>
      <c r="L11" s="3" t="inlineStr"/>
      <c r="M11" s="3" t="inlineStr"/>
      <c r="N11" s="3" t="inlineStr"/>
    </row>
    <row r="12">
      <c r="A12" s="3" t="inlineStr">
        <is>
          <t>F11</t>
        </is>
      </c>
      <c r="B12" s="3" t="inlineStr">
        <is>
          <t>Checkout</t>
        </is>
      </c>
      <c r="C12" s="3" t="inlineStr">
        <is>
          <t>Cart edits</t>
        </is>
      </c>
      <c r="D12" s="3" t="inlineStr">
        <is>
          <t>Guest</t>
        </is>
      </c>
      <c r="E12" s="3" t="inlineStr">
        <is>
          <t>2 items in cart</t>
        </is>
      </c>
      <c r="F12" s="3" t="inlineStr">
        <is>
          <t>Change qty, remove, add again.</t>
        </is>
      </c>
      <c r="G12" s="3" t="inlineStr">
        <is>
          <t>Totals recalc; empty-cart state.</t>
        </is>
      </c>
      <c r="H12" s="3" t="inlineStr">
        <is>
          <t>PRD-02; T04-01</t>
        </is>
      </c>
      <c r="I12" s="3" t="inlineStr">
        <is>
          <t>P0</t>
        </is>
      </c>
      <c r="J12" s="3" t="inlineStr">
        <is>
          <t>375 + 1440</t>
        </is>
      </c>
      <c r="K12" s="3" t="inlineStr">
        <is>
          <t>Not run</t>
        </is>
      </c>
      <c r="L12" s="3" t="inlineStr"/>
      <c r="M12" s="3" t="inlineStr"/>
      <c r="N12" s="3" t="inlineStr"/>
    </row>
    <row r="13">
      <c r="A13" s="3" t="inlineStr">
        <is>
          <t>F12</t>
        </is>
      </c>
      <c r="B13" s="3" t="inlineStr">
        <is>
          <t>Checkout</t>
        </is>
      </c>
      <c r="C13" s="3" t="inlineStr">
        <is>
          <t>Delivery zones and courier rates</t>
        </is>
      </c>
      <c r="D13" s="3" t="inlineStr">
        <is>
          <t>Guest</t>
        </is>
      </c>
      <c r="E13" s="3" t="inlineStr"/>
      <c r="F13" s="3" t="inlineStr">
        <is>
          <t>Checkout with Lagos zone address, then outside-zone address.</t>
        </is>
      </c>
      <c r="G13" s="3" t="inlineStr">
        <is>
          <t>Zone rate inside; Shipbubble rate (or staff-set price) outside; clear message if unavailable.</t>
        </is>
      </c>
      <c r="H13" s="3" t="inlineStr">
        <is>
          <t>T04-01, T08-05</t>
        </is>
      </c>
      <c r="I13" s="3" t="inlineStr">
        <is>
          <t>P0</t>
        </is>
      </c>
      <c r="J13" s="3" t="inlineStr">
        <is>
          <t>375 + 1440</t>
        </is>
      </c>
      <c r="K13" s="3" t="inlineStr">
        <is>
          <t>Not run</t>
        </is>
      </c>
      <c r="L13" s="3" t="inlineStr"/>
      <c r="M13" s="3" t="inlineStr"/>
      <c r="N13" s="3" t="inlineStr"/>
    </row>
    <row r="14">
      <c r="A14" s="3" t="inlineStr">
        <is>
          <t>F13</t>
        </is>
      </c>
      <c r="B14" s="3" t="inlineStr">
        <is>
          <t>Payments</t>
        </is>
      </c>
      <c r="C14" s="3" t="inlineStr">
        <is>
          <t>Paystack success / abandon / fail</t>
        </is>
      </c>
      <c r="D14" s="3" t="inlineStr">
        <is>
          <t>Guest</t>
        </is>
      </c>
      <c r="E14" s="3" t="inlineStr">
        <is>
          <t>Staging test key</t>
        </is>
      </c>
      <c r="F14" s="3" t="inlineStr">
        <is>
          <t>Pay with test card; then abandon; then failing card.</t>
        </is>
      </c>
      <c r="G14" s="3" t="inlineStr">
        <is>
          <t>Processing page then PAID; abandon leaves PAYMENT_DUE; fail shows retry; no duplicate orders on double-click.</t>
        </is>
      </c>
      <c r="H14" s="3" t="inlineStr">
        <is>
          <t>TECH-05; T04-03, T15-03</t>
        </is>
      </c>
      <c r="I14" s="3" t="inlineStr">
        <is>
          <t>P0</t>
        </is>
      </c>
      <c r="J14" s="3" t="inlineStr">
        <is>
          <t>375 + 1440</t>
        </is>
      </c>
      <c r="K14" s="3" t="inlineStr">
        <is>
          <t>Not run</t>
        </is>
      </c>
      <c r="L14" s="3" t="inlineStr"/>
      <c r="M14" s="3" t="inlineStr"/>
      <c r="N14" s="3" t="inlineStr"/>
    </row>
    <row r="15">
      <c r="A15" s="3" t="inlineStr">
        <is>
          <t>F14</t>
        </is>
      </c>
      <c r="B15" s="3" t="inlineStr">
        <is>
          <t>Payments</t>
        </is>
      </c>
      <c r="C15" s="3" t="inlineStr">
        <is>
          <t>Payments switched off</t>
        </is>
      </c>
      <c r="D15" s="3" t="inlineStr">
        <is>
          <t>Staff Ada</t>
        </is>
      </c>
      <c r="E15" s="3" t="inlineStr"/>
      <c r="F15" s="3" t="inlineStr">
        <is>
          <t>Admin → Payments → Settings: disable online payments; try checkout.</t>
        </is>
      </c>
      <c r="G15" s="3" t="inlineStr">
        <is>
          <t>Customer sees 'payment not available' message, no broken flow; re-enable restores.</t>
        </is>
      </c>
      <c r="H15" s="3" t="inlineStr">
        <is>
          <t>T04-05</t>
        </is>
      </c>
      <c r="I15" s="3" t="inlineStr">
        <is>
          <t>P1</t>
        </is>
      </c>
      <c r="J15" s="3" t="inlineStr">
        <is>
          <t>1440</t>
        </is>
      </c>
      <c r="K15" s="3" t="inlineStr">
        <is>
          <t>Not run</t>
        </is>
      </c>
      <c r="L15" s="3" t="inlineStr"/>
      <c r="M15" s="3" t="inlineStr"/>
      <c r="N15" s="3" t="inlineStr"/>
    </row>
    <row r="16">
      <c r="A16" s="3" t="inlineStr">
        <is>
          <t>F15</t>
        </is>
      </c>
      <c r="B16" s="3" t="inlineStr">
        <is>
          <t>Payments</t>
        </is>
      </c>
      <c r="C16" s="3" t="inlineStr">
        <is>
          <t>Receipts</t>
        </is>
      </c>
      <c r="D16" s="3" t="inlineStr">
        <is>
          <t>Customer</t>
        </is>
      </c>
      <c r="E16" s="3" t="inlineStr">
        <is>
          <t>Paid order</t>
        </is>
      </c>
      <c r="F16" s="3" t="inlineStr">
        <is>
          <t>Open /orders/[id]/receipts/[receiptId]; print.</t>
        </is>
      </c>
      <c r="G16" s="3" t="inlineStr">
        <is>
          <t>Correct amounts, currency, VAT lines; printable.</t>
        </is>
      </c>
      <c r="H16" s="3" t="inlineStr">
        <is>
          <t>T04-05</t>
        </is>
      </c>
      <c r="I16" s="3" t="inlineStr">
        <is>
          <t>P1</t>
        </is>
      </c>
      <c r="J16" s="3" t="inlineStr">
        <is>
          <t>1440</t>
        </is>
      </c>
      <c r="K16" s="3" t="inlineStr">
        <is>
          <t>Not run</t>
        </is>
      </c>
      <c r="L16" s="3" t="inlineStr"/>
      <c r="M16" s="3" t="inlineStr"/>
      <c r="N16" s="3" t="inlineStr"/>
    </row>
    <row r="17">
      <c r="A17" s="3" t="inlineStr">
        <is>
          <t>F16</t>
        </is>
      </c>
      <c r="B17" s="3" t="inlineStr">
        <is>
          <t>Orders</t>
        </is>
      </c>
      <c r="C17" s="3" t="inlineStr">
        <is>
          <t>Cancel and change requests</t>
        </is>
      </c>
      <c r="D17" s="3" t="inlineStr">
        <is>
          <t>Customer</t>
        </is>
      </c>
      <c r="E17" s="3" t="inlineStr">
        <is>
          <t>Order CONFIRMED</t>
        </is>
      </c>
      <c r="F17" s="3" t="inlineStr">
        <is>
          <t>/orders/[id]/cancel and /change.</t>
        </is>
      </c>
      <c r="G17" s="3" t="inlineStr">
        <is>
          <t>Allowed only in permitted states; staff see request; history kept.</t>
        </is>
      </c>
      <c r="H17" s="3" t="inlineStr">
        <is>
          <t>PRD-04; T07-03</t>
        </is>
      </c>
      <c r="I17" s="3" t="inlineStr">
        <is>
          <t>P1</t>
        </is>
      </c>
      <c r="J17" s="3" t="inlineStr">
        <is>
          <t>375 + 1440</t>
        </is>
      </c>
      <c r="K17" s="3" t="inlineStr">
        <is>
          <t>Not run</t>
        </is>
      </c>
      <c r="L17" s="3" t="inlineStr"/>
      <c r="M17" s="3" t="inlineStr"/>
      <c r="N17" s="3" t="inlineStr"/>
    </row>
    <row r="18">
      <c r="A18" s="3" t="inlineStr">
        <is>
          <t>F17</t>
        </is>
      </c>
      <c r="B18" s="3" t="inlineStr">
        <is>
          <t>Orders</t>
        </is>
      </c>
      <c r="C18" s="3" t="inlineStr">
        <is>
          <t>Report a problem</t>
        </is>
      </c>
      <c r="D18" s="3" t="inlineStr">
        <is>
          <t>Customer</t>
        </is>
      </c>
      <c r="E18" s="3" t="inlineStr">
        <is>
          <t>Order DELIVERED</t>
        </is>
      </c>
      <c r="F18" s="3" t="inlineStr">
        <is>
          <t>/orders/[id]/problem with photos.</t>
        </is>
      </c>
      <c r="G18" s="3" t="inlineStr">
        <is>
          <t>Problem in Admin → Problems with order context.</t>
        </is>
      </c>
      <c r="H18" s="3" t="inlineStr">
        <is>
          <t>T08-01</t>
        </is>
      </c>
      <c r="I18" s="3" t="inlineStr">
        <is>
          <t>P1</t>
        </is>
      </c>
      <c r="J18" s="3" t="inlineStr">
        <is>
          <t>375</t>
        </is>
      </c>
      <c r="K18" s="3" t="inlineStr">
        <is>
          <t>Not run</t>
        </is>
      </c>
      <c r="L18" s="3" t="inlineStr"/>
      <c r="M18" s="3" t="inlineStr"/>
      <c r="N18" s="3" t="inlineStr"/>
    </row>
    <row r="19">
      <c r="A19" s="3" t="inlineStr">
        <is>
          <t>F18</t>
        </is>
      </c>
      <c r="B19" s="3" t="inlineStr">
        <is>
          <t>Orders</t>
        </is>
      </c>
      <c r="C19" s="3" t="inlineStr">
        <is>
          <t>Guest tracking</t>
        </is>
      </c>
      <c r="D19" s="3" t="inlineStr">
        <is>
          <t>Guest</t>
        </is>
      </c>
      <c r="E19" s="3" t="inlineStr"/>
      <c r="F19" s="3" t="inlineStr">
        <is>
          <t>/track with ref + email; wrong email.</t>
        </is>
      </c>
      <c r="G19" s="3" t="inlineStr">
        <is>
          <t>Right order opens; wrong combo gives neutral error (no enumeration).</t>
        </is>
      </c>
      <c r="H19" s="3" t="inlineStr">
        <is>
          <t>T07-03</t>
        </is>
      </c>
      <c r="I19" s="3" t="inlineStr">
        <is>
          <t>P0</t>
        </is>
      </c>
      <c r="J19" s="3" t="inlineStr">
        <is>
          <t>375</t>
        </is>
      </c>
      <c r="K19" s="3" t="inlineStr">
        <is>
          <t>Not run</t>
        </is>
      </c>
      <c r="L19" s="3" t="inlineStr"/>
      <c r="M19" s="3" t="inlineStr"/>
      <c r="N19" s="3" t="inlineStr"/>
    </row>
    <row r="20">
      <c r="A20" s="3" t="inlineStr">
        <is>
          <t>F19</t>
        </is>
      </c>
      <c r="B20" s="3" t="inlineStr">
        <is>
          <t>Accounts</t>
        </is>
      </c>
      <c r="C20" s="3" t="inlineStr">
        <is>
          <t>Sign up, verify, sign in, reset</t>
        </is>
      </c>
      <c r="D20" s="3" t="inlineStr">
        <is>
          <t>New customer</t>
        </is>
      </c>
      <c r="E20" s="3" t="inlineStr"/>
      <c r="F20" s="3" t="inlineStr">
        <is>
          <t>/sign-up → verify email → sign out → /forgot-password → reset.</t>
        </is>
      </c>
      <c r="G20" s="3" t="inlineStr">
        <is>
          <t>All emails arrive; rate limit on repeated attempts; clear errors.</t>
        </is>
      </c>
      <c r="H20" s="3" t="inlineStr">
        <is>
          <t>PRD-01; T09-01</t>
        </is>
      </c>
      <c r="I20" s="3" t="inlineStr">
        <is>
          <t>P0</t>
        </is>
      </c>
      <c r="J20" s="3" t="inlineStr">
        <is>
          <t>375 + 1440</t>
        </is>
      </c>
      <c r="K20" s="3" t="inlineStr">
        <is>
          <t>Not run</t>
        </is>
      </c>
      <c r="L20" s="3" t="inlineStr"/>
      <c r="M20" s="3" t="inlineStr"/>
      <c r="N20" s="3" t="inlineStr"/>
    </row>
    <row r="21">
      <c r="A21" s="3" t="inlineStr">
        <is>
          <t>F20</t>
        </is>
      </c>
      <c r="B21" s="3" t="inlineStr">
        <is>
          <t>Accounts</t>
        </is>
      </c>
      <c r="C21" s="3" t="inlineStr">
        <is>
          <t>Profile, email change, security</t>
        </is>
      </c>
      <c r="D21" s="3" t="inlineStr">
        <is>
          <t>Customer</t>
        </is>
      </c>
      <c r="E21" s="3" t="inlineStr"/>
      <c r="F21" s="3" t="inlineStr">
        <is>
          <t>/account/profile, change email (verify new), /account/security sessions.</t>
        </is>
      </c>
      <c r="G21" s="3" t="inlineStr">
        <is>
          <t>Email change needs verification; sign out other sessions works.</t>
        </is>
      </c>
      <c r="H21" s="3" t="inlineStr">
        <is>
          <t>T09-01b</t>
        </is>
      </c>
      <c r="I21" s="3" t="inlineStr">
        <is>
          <t>P1</t>
        </is>
      </c>
      <c r="J21" s="3" t="inlineStr">
        <is>
          <t>1440</t>
        </is>
      </c>
      <c r="K21" s="3" t="inlineStr">
        <is>
          <t>Not run</t>
        </is>
      </c>
      <c r="L21" s="3" t="inlineStr"/>
      <c r="M21" s="3" t="inlineStr"/>
      <c r="N21" s="3" t="inlineStr"/>
    </row>
    <row r="22">
      <c r="A22" s="3" t="inlineStr">
        <is>
          <t>F21</t>
        </is>
      </c>
      <c r="B22" s="3" t="inlineStr">
        <is>
          <t>Accounts</t>
        </is>
      </c>
      <c r="C22" s="3" t="inlineStr">
        <is>
          <t>History lists</t>
        </is>
      </c>
      <c r="D22" s="3" t="inlineStr">
        <is>
          <t>Customer</t>
        </is>
      </c>
      <c r="E22" s="3" t="inlineStr">
        <is>
          <t>Several records</t>
        </is>
      </c>
      <c r="F22" s="3" t="inlineStr">
        <is>
          <t>/account/[list] for quotes, orders, projects, drafts.</t>
        </is>
      </c>
      <c r="G22" s="3" t="inlineStr">
        <is>
          <t>Paginated; full totals; only own records.</t>
        </is>
      </c>
      <c r="H22" s="3" t="inlineStr">
        <is>
          <t>T09-01b, T00-13</t>
        </is>
      </c>
      <c r="I22" s="3" t="inlineStr">
        <is>
          <t>P1</t>
        </is>
      </c>
      <c r="J22" s="3" t="inlineStr">
        <is>
          <t>375 + 1440</t>
        </is>
      </c>
      <c r="K22" s="3" t="inlineStr">
        <is>
          <t>Not run</t>
        </is>
      </c>
      <c r="L22" s="3" t="inlineStr"/>
      <c r="M22" s="3" t="inlineStr"/>
      <c r="N22" s="3" t="inlineStr"/>
    </row>
    <row r="23">
      <c r="A23" s="3" t="inlineStr">
        <is>
          <t>F22</t>
        </is>
      </c>
      <c r="B23" s="3" t="inlineStr">
        <is>
          <t>Workspace</t>
        </is>
      </c>
      <c r="C23" s="3" t="inlineStr">
        <is>
          <t>Request a workspace</t>
        </is>
      </c>
      <c r="D23" s="3" t="inlineStr">
        <is>
          <t>Customer Amaka</t>
        </is>
      </c>
      <c r="E23" s="3" t="inlineStr"/>
      <c r="F23" s="3" t="inlineStr">
        <is>
          <t>/account/workspace → request; staff approve in Admin → Workspace requests.</t>
        </is>
      </c>
      <c r="G23" s="3" t="inlineStr">
        <is>
          <t>Pending state; approval email; workspace appears; decline path works.</t>
        </is>
      </c>
      <c r="H23" s="3" t="inlineStr">
        <is>
          <t>PRD-05; T10-01</t>
        </is>
      </c>
      <c r="I23" s="3" t="inlineStr">
        <is>
          <t>P0</t>
        </is>
      </c>
      <c r="J23" s="3" t="inlineStr">
        <is>
          <t>1440</t>
        </is>
      </c>
      <c r="K23" s="3" t="inlineStr">
        <is>
          <t>Not run</t>
        </is>
      </c>
      <c r="L23" s="3" t="inlineStr"/>
      <c r="M23" s="3" t="inlineStr"/>
      <c r="N23" s="3" t="inlineStr"/>
    </row>
    <row r="24">
      <c r="A24" s="3" t="inlineStr">
        <is>
          <t>F23</t>
        </is>
      </c>
      <c r="B24" s="3" t="inlineStr">
        <is>
          <t>Workspace</t>
        </is>
      </c>
      <c r="C24" s="3" t="inlineStr">
        <is>
          <t>Team, invites, locations, roles</t>
        </is>
      </c>
      <c r="D24" s="3" t="inlineStr">
        <is>
          <t>ACME Owner</t>
        </is>
      </c>
      <c r="E24" s="3" t="inlineStr"/>
      <c r="F24" s="3" t="inlineStr">
        <is>
          <t>Invite member, accept via /invitations, assign role + location; deactivate; try to remove last Owner.</t>
        </is>
      </c>
      <c r="G24" s="3" t="inlineStr">
        <is>
          <t>Invite email; role applied; deactivation immediate; last Owner cannot be removed.</t>
        </is>
      </c>
      <c r="H24" s="3" t="inlineStr">
        <is>
          <t>T10-01</t>
        </is>
      </c>
      <c r="I24" s="3" t="inlineStr">
        <is>
          <t>P0</t>
        </is>
      </c>
      <c r="J24" s="3" t="inlineStr">
        <is>
          <t>1440</t>
        </is>
      </c>
      <c r="K24" s="3" t="inlineStr">
        <is>
          <t>Not run</t>
        </is>
      </c>
      <c r="L24" s="3" t="inlineStr"/>
      <c r="M24" s="3" t="inlineStr"/>
      <c r="N24" s="3" t="inlineStr"/>
    </row>
    <row r="25">
      <c r="A25" s="3" t="inlineStr">
        <is>
          <t>F24</t>
        </is>
      </c>
      <c r="B25" s="3" t="inlineStr">
        <is>
          <t>Workspace</t>
        </is>
      </c>
      <c r="C25" s="3" t="inlineStr">
        <is>
          <t>Overview, lists, billing, search</t>
        </is>
      </c>
      <c r="D25" s="3" t="inlineStr">
        <is>
          <t>ACME Owner</t>
        </is>
      </c>
      <c r="E25" s="3" t="inlineStr"/>
      <c r="F25" s="3" t="inlineStr">
        <is>
          <t>Workspace home, orders, projects, billing (mixed currency), search.</t>
        </is>
      </c>
      <c r="G25" s="3" t="inlineStr">
        <is>
          <t>Attention items link to records; billing totals per currency; search scoped to org.</t>
        </is>
      </c>
      <c r="H25" s="3" t="inlineStr">
        <is>
          <t>T10-03, T00-13</t>
        </is>
      </c>
      <c r="I25" s="3" t="inlineStr">
        <is>
          <t>P1</t>
        </is>
      </c>
      <c r="J25" s="3" t="inlineStr">
        <is>
          <t>375 + 1440</t>
        </is>
      </c>
      <c r="K25" s="3" t="inlineStr">
        <is>
          <t>Not run</t>
        </is>
      </c>
      <c r="L25" s="3" t="inlineStr"/>
      <c r="M25" s="3" t="inlineStr"/>
      <c r="N25" s="3" t="inlineStr"/>
    </row>
    <row r="26">
      <c r="A26" s="3" t="inlineStr">
        <is>
          <t>F25</t>
        </is>
      </c>
      <c r="B26" s="3" t="inlineStr">
        <is>
          <t>Workspace</t>
        </is>
      </c>
      <c r="C26" s="3" t="inlineStr">
        <is>
          <t>Approval rule</t>
        </is>
      </c>
      <c r="D26" s="3" t="inlineStr">
        <is>
          <t>ACME Owner</t>
        </is>
      </c>
      <c r="E26" s="3" t="inlineStr"/>
      <c r="F26" s="3" t="inlineStr">
        <is>
          <t>/approval-rule: set threshold, separation on.</t>
        </is>
      </c>
      <c r="G26" s="3" t="inlineStr">
        <is>
          <t>Requests above threshold need approval; Buyer can't approve own request.</t>
        </is>
      </c>
      <c r="H26" s="3" t="inlineStr">
        <is>
          <t>T11-04</t>
        </is>
      </c>
      <c r="I26" s="3" t="inlineStr">
        <is>
          <t>P0</t>
        </is>
      </c>
      <c r="J26" s="3" t="inlineStr">
        <is>
          <t>1440</t>
        </is>
      </c>
      <c r="K26" s="3" t="inlineStr">
        <is>
          <t>Not run</t>
        </is>
      </c>
      <c r="L26" s="3" t="inlineStr"/>
      <c r="M26" s="3" t="inlineStr"/>
      <c r="N26" s="3" t="inlineStr"/>
    </row>
    <row r="27">
      <c r="A27" s="3" t="inlineStr">
        <is>
          <t>F26</t>
        </is>
      </c>
      <c r="B27" s="3" t="inlineStr">
        <is>
          <t>Workspace</t>
        </is>
      </c>
      <c r="C27" s="3" t="inlineStr">
        <is>
          <t>Company store setup &amp; allowances</t>
        </is>
      </c>
      <c r="D27" s="3" t="inlineStr">
        <is>
          <t>ACME Admin</t>
        </is>
      </c>
      <c r="E27" s="3" t="inlineStr"/>
      <c r="F27" s="3" t="inlineStr">
        <is>
          <t>Stores → new → setup products, mode, allowance → publish link.</t>
        </is>
      </c>
      <c r="G27" s="3" t="inlineStr">
        <is>
          <t>Store live; allowance balances deduct and block overspend.</t>
        </is>
      </c>
      <c r="H27" s="3" t="inlineStr">
        <is>
          <t>T12-06, T12-06b</t>
        </is>
      </c>
      <c r="I27" s="3" t="inlineStr">
        <is>
          <t>P1</t>
        </is>
      </c>
      <c r="J27" s="3" t="inlineStr">
        <is>
          <t>1440</t>
        </is>
      </c>
      <c r="K27" s="3" t="inlineStr">
        <is>
          <t>Not run</t>
        </is>
      </c>
      <c r="L27" s="3" t="inlineStr"/>
      <c r="M27" s="3" t="inlineStr"/>
      <c r="N27" s="3" t="inlineStr"/>
    </row>
    <row r="28">
      <c r="A28" s="3" t="inlineStr">
        <is>
          <t>F27</t>
        </is>
      </c>
      <c r="B28" s="3" t="inlineStr">
        <is>
          <t>Admin</t>
        </is>
      </c>
      <c r="C28" s="3" t="inlineStr">
        <is>
          <t>Staff sign-in + MFA</t>
        </is>
      </c>
      <c r="D28" s="3" t="inlineStr">
        <is>
          <t>Staff Ada</t>
        </is>
      </c>
      <c r="E28" s="3" t="inlineStr">
        <is>
          <t>Authenticator set</t>
        </is>
      </c>
      <c r="F28" s="3" t="inlineStr">
        <is>
          <t>Admin sign-in → MFA → idle → sensitive action.</t>
        </is>
      </c>
      <c r="G28" s="3" t="inlineStr">
        <is>
          <t>MFA required; recent-MFA prompt for sensitive actions; customer site has no /admin.</t>
        </is>
      </c>
      <c r="H28" s="3" t="inlineStr">
        <is>
          <t>T00-06, T00-09</t>
        </is>
      </c>
      <c r="I28" s="3" t="inlineStr">
        <is>
          <t>P0</t>
        </is>
      </c>
      <c r="J28" s="3" t="inlineStr">
        <is>
          <t>1440</t>
        </is>
      </c>
      <c r="K28" s="3" t="inlineStr">
        <is>
          <t>Not run</t>
        </is>
      </c>
      <c r="L28" s="3" t="inlineStr"/>
      <c r="M28" s="3" t="inlineStr"/>
      <c r="N28" s="3" t="inlineStr"/>
    </row>
    <row r="29">
      <c r="A29" s="3" t="inlineStr">
        <is>
          <t>F28</t>
        </is>
      </c>
      <c r="B29" s="3" t="inlineStr">
        <is>
          <t>Admin</t>
        </is>
      </c>
      <c r="C29" s="3" t="inlineStr">
        <is>
          <t>Catalogue &amp; rules</t>
        </is>
      </c>
      <c r="D29" s="3" t="inlineStr">
        <is>
          <t>Staff Kemi (CATALOGUE)</t>
        </is>
      </c>
      <c r="E29" s="3" t="inlineStr"/>
      <c r="F29" s="3" t="inlineStr">
        <is>
          <t>Products → edit, new; Rules → edit prices; Garment data; Merchandising; Categories hub.</t>
        </is>
      </c>
      <c r="G29" s="3" t="inlineStr">
        <is>
          <t>Changes publish to web; price updates flag drafts 'Price updated'; audit entries.</t>
        </is>
      </c>
      <c r="H29" s="3" t="inlineStr">
        <is>
          <t>T02-01, T13-01, T13-01b</t>
        </is>
      </c>
      <c r="I29" s="3" t="inlineStr">
        <is>
          <t>P1</t>
        </is>
      </c>
      <c r="J29" s="3" t="inlineStr">
        <is>
          <t>1440</t>
        </is>
      </c>
      <c r="K29" s="3" t="inlineStr">
        <is>
          <t>Not run</t>
        </is>
      </c>
      <c r="L29" s="3" t="inlineStr"/>
      <c r="M29" s="3" t="inlineStr"/>
      <c r="N29" s="3" t="inlineStr"/>
    </row>
    <row r="30">
      <c r="A30" s="3" t="inlineStr">
        <is>
          <t>F29</t>
        </is>
      </c>
      <c r="B30" s="3" t="inlineStr">
        <is>
          <t>Admin</t>
        </is>
      </c>
      <c r="C30" s="3" t="inlineStr">
        <is>
          <t>Operations home</t>
        </is>
      </c>
      <c r="D30" s="3" t="inlineStr">
        <is>
          <t>Staff Ada</t>
        </is>
      </c>
      <c r="E30" s="3" t="inlineStr"/>
      <c r="F30" s="3" t="inlineStr">
        <is>
          <t>Admin home.</t>
        </is>
      </c>
      <c r="G30" s="3" t="inlineStr">
        <is>
          <t>Queues (quotes, proofs, production, problems, payments review) with correct counts and links.</t>
        </is>
      </c>
      <c r="H30" s="3" t="inlineStr">
        <is>
          <t>T13-03</t>
        </is>
      </c>
      <c r="I30" s="3" t="inlineStr">
        <is>
          <t>P1</t>
        </is>
      </c>
      <c r="J30" s="3" t="inlineStr">
        <is>
          <t>1440</t>
        </is>
      </c>
      <c r="K30" s="3" t="inlineStr">
        <is>
          <t>Not run</t>
        </is>
      </c>
      <c r="L30" s="3" t="inlineStr"/>
      <c r="M30" s="3" t="inlineStr"/>
      <c r="N30" s="3" t="inlineStr"/>
    </row>
    <row r="31">
      <c r="A31" s="3" t="inlineStr">
        <is>
          <t>F30</t>
        </is>
      </c>
      <c r="B31" s="3" t="inlineStr">
        <is>
          <t>Admin</t>
        </is>
      </c>
      <c r="C31" s="3" t="inlineStr">
        <is>
          <t>Production board &amp; holds</t>
        </is>
      </c>
      <c r="D31" s="3" t="inlineStr">
        <is>
          <t>Staff Ada</t>
        </is>
      </c>
      <c r="E31" s="3" t="inlineStr"/>
      <c r="F31" s="3" t="inlineStr">
        <is>
          <t>Production → move cards, add/clear hold with reason.</t>
        </is>
      </c>
      <c r="G31" s="3" t="inlineStr">
        <is>
          <t>Statuses follow allowed transitions; customer sees hold reason wording.</t>
        </is>
      </c>
      <c r="H31" s="3" t="inlineStr">
        <is>
          <t>T07-01</t>
        </is>
      </c>
      <c r="I31" s="3" t="inlineStr">
        <is>
          <t>P0</t>
        </is>
      </c>
      <c r="J31" s="3" t="inlineStr">
        <is>
          <t>1440</t>
        </is>
      </c>
      <c r="K31" s="3" t="inlineStr">
        <is>
          <t>Not run</t>
        </is>
      </c>
      <c r="L31" s="3" t="inlineStr"/>
      <c r="M31" s="3" t="inlineStr"/>
      <c r="N31" s="3" t="inlineStr"/>
    </row>
    <row r="32">
      <c r="A32" s="3" t="inlineStr">
        <is>
          <t>F31</t>
        </is>
      </c>
      <c r="B32" s="3" t="inlineStr">
        <is>
          <t>Admin</t>
        </is>
      </c>
      <c r="C32" s="3" t="inlineStr">
        <is>
          <t>Shipments &amp; courier booking</t>
        </is>
      </c>
      <c r="D32" s="3" t="inlineStr">
        <is>
          <t>Staff Ada</t>
        </is>
      </c>
      <c r="E32" s="3" t="inlineStr">
        <is>
          <t>Shipbubble test key</t>
        </is>
      </c>
      <c r="F32" s="3" t="inlineStr">
        <is>
          <t>Shipments → order → book courier; webhook update.</t>
        </is>
      </c>
      <c r="G32" s="3" t="inlineStr">
        <is>
          <t>Booking durable (retry safe); tracking number on customer page.</t>
        </is>
      </c>
      <c r="H32" s="3" t="inlineStr">
        <is>
          <t>T08-06, T00-13</t>
        </is>
      </c>
      <c r="I32" s="3" t="inlineStr">
        <is>
          <t>P1</t>
        </is>
      </c>
      <c r="J32" s="3" t="inlineStr">
        <is>
          <t>1440</t>
        </is>
      </c>
      <c r="K32" s="3" t="inlineStr">
        <is>
          <t>Not run</t>
        </is>
      </c>
      <c r="L32" s="3" t="inlineStr"/>
      <c r="M32" s="3" t="inlineStr"/>
      <c r="N32" s="3" t="inlineStr"/>
    </row>
    <row r="33">
      <c r="A33" s="3" t="inlineStr">
        <is>
          <t>F32</t>
        </is>
      </c>
      <c r="B33" s="3" t="inlineStr">
        <is>
          <t>Admin</t>
        </is>
      </c>
      <c r="C33" s="3" t="inlineStr">
        <is>
          <t>Refunds</t>
        </is>
      </c>
      <c r="D33" s="3" t="inlineStr">
        <is>
          <t>Staff Ada</t>
        </is>
      </c>
      <c r="E33" s="3" t="inlineStr">
        <is>
          <t>Paid order</t>
        </is>
      </c>
      <c r="F33" s="3" t="inlineStr">
        <is>
          <t>Refunds → new → partial then full.</t>
        </is>
      </c>
      <c r="G33" s="3" t="inlineStr">
        <is>
          <t>PARTIALLY_REFUNDED → REFUNDED; Paystack refund created; MFA re-check; audit.</t>
        </is>
      </c>
      <c r="H33" s="3" t="inlineStr">
        <is>
          <t>T13-05</t>
        </is>
      </c>
      <c r="I33" s="3" t="inlineStr">
        <is>
          <t>P0</t>
        </is>
      </c>
      <c r="J33" s="3" t="inlineStr">
        <is>
          <t>1440</t>
        </is>
      </c>
      <c r="K33" s="3" t="inlineStr">
        <is>
          <t>Not run</t>
        </is>
      </c>
      <c r="L33" s="3" t="inlineStr"/>
      <c r="M33" s="3" t="inlineStr"/>
      <c r="N33" s="3" t="inlineStr"/>
    </row>
    <row r="34">
      <c r="A34" s="3" t="inlineStr">
        <is>
          <t>F33</t>
        </is>
      </c>
      <c r="B34" s="3" t="inlineStr">
        <is>
          <t>Admin</t>
        </is>
      </c>
      <c r="C34" s="3" t="inlineStr">
        <is>
          <t>Payments review &amp; intents</t>
        </is>
      </c>
      <c r="D34" s="3" t="inlineStr">
        <is>
          <t>Staff Folake (VIEW)</t>
        </is>
      </c>
      <c r="E34" s="3" t="inlineStr"/>
      <c r="F34" s="3" t="inlineStr">
        <is>
          <t>Payments, intents, reviews.</t>
        </is>
      </c>
      <c r="G34" s="3" t="inlineStr">
        <is>
          <t>Can view; every change button absent or 403.</t>
        </is>
      </c>
      <c r="H34" s="3" t="inlineStr">
        <is>
          <t>T04-05</t>
        </is>
      </c>
      <c r="I34" s="3" t="inlineStr">
        <is>
          <t>P1</t>
        </is>
      </c>
      <c r="J34" s="3" t="inlineStr">
        <is>
          <t>1440</t>
        </is>
      </c>
      <c r="K34" s="3" t="inlineStr">
        <is>
          <t>Not run</t>
        </is>
      </c>
      <c r="L34" s="3" t="inlineStr"/>
      <c r="M34" s="3" t="inlineStr"/>
      <c r="N34" s="3" t="inlineStr"/>
    </row>
    <row r="35">
      <c r="A35" s="3" t="inlineStr">
        <is>
          <t>F34</t>
        </is>
      </c>
      <c r="B35" s="3" t="inlineStr">
        <is>
          <t>Admin</t>
        </is>
      </c>
      <c r="C35" s="3" t="inlineStr">
        <is>
          <t>Exports</t>
        </is>
      </c>
      <c r="D35" s="3" t="inlineStr">
        <is>
          <t>Staff Ada</t>
        </is>
      </c>
      <c r="E35" s="3" t="inlineStr"/>
      <c r="F35" s="3" t="inlineStr">
        <is>
          <t>Exports → orders, payments, personal data.</t>
        </is>
      </c>
      <c r="G35" s="3" t="inlineStr">
        <is>
          <t>CSV downloads; personal data needs EXPORT_PERSONAL_DATA; audited.</t>
        </is>
      </c>
      <c r="H35" s="3" t="inlineStr">
        <is>
          <t>T13-03b</t>
        </is>
      </c>
      <c r="I35" s="3" t="inlineStr">
        <is>
          <t>P2</t>
        </is>
      </c>
      <c r="J35" s="3" t="inlineStr">
        <is>
          <t>1440</t>
        </is>
      </c>
      <c r="K35" s="3" t="inlineStr">
        <is>
          <t>Not run</t>
        </is>
      </c>
      <c r="L35" s="3" t="inlineStr"/>
      <c r="M35" s="3" t="inlineStr"/>
      <c r="N35" s="3" t="inlineStr"/>
    </row>
    <row r="36">
      <c r="A36" s="3" t="inlineStr">
        <is>
          <t>F35</t>
        </is>
      </c>
      <c r="B36" s="3" t="inlineStr">
        <is>
          <t>Admin</t>
        </is>
      </c>
      <c r="C36" s="3" t="inlineStr">
        <is>
          <t>Staff administration</t>
        </is>
      </c>
      <c r="D36" s="3" t="inlineStr">
        <is>
          <t>Staff Tunde (STAFF_ADMIN)</t>
        </is>
      </c>
      <c r="E36" s="3" t="inlineStr"/>
      <c r="F36" s="3" t="inlineStr">
        <is>
          <t>Staff → invite, change permissions, deactivate.</t>
        </is>
      </c>
      <c r="G36" s="3" t="inlineStr">
        <is>
          <t>Changes take effect on next request; can't lock out last admin; audited.</t>
        </is>
      </c>
      <c r="H36" s="3" t="inlineStr">
        <is>
          <t>T13-05b</t>
        </is>
      </c>
      <c r="I36" s="3" t="inlineStr">
        <is>
          <t>P1</t>
        </is>
      </c>
      <c r="J36" s="3" t="inlineStr">
        <is>
          <t>1440</t>
        </is>
      </c>
      <c r="K36" s="3" t="inlineStr">
        <is>
          <t>Not run</t>
        </is>
      </c>
      <c r="L36" s="3" t="inlineStr"/>
      <c r="M36" s="3" t="inlineStr"/>
      <c r="N36" s="3" t="inlineStr"/>
    </row>
    <row r="37">
      <c r="A37" s="3" t="inlineStr">
        <is>
          <t>F36</t>
        </is>
      </c>
      <c r="B37" s="3" t="inlineStr">
        <is>
          <t>Admin</t>
        </is>
      </c>
      <c r="C37" s="3" t="inlineStr">
        <is>
          <t>Audit log</t>
        </is>
      </c>
      <c r="D37" s="3" t="inlineStr">
        <is>
          <t>Staff Ada</t>
        </is>
      </c>
      <c r="E37" s="3" t="inlineStr"/>
      <c r="F37" s="3" t="inlineStr">
        <is>
          <t>Audit → filter by record/actor.</t>
        </is>
      </c>
      <c r="G37" s="3" t="inlineStr">
        <is>
          <t>Every action from this run appears with actor, record, time.</t>
        </is>
      </c>
      <c r="H37" s="3" t="inlineStr">
        <is>
          <t>T01-01</t>
        </is>
      </c>
      <c r="I37" s="3" t="inlineStr">
        <is>
          <t>P2</t>
        </is>
      </c>
      <c r="J37" s="3" t="inlineStr">
        <is>
          <t>1440</t>
        </is>
      </c>
      <c r="K37" s="3" t="inlineStr">
        <is>
          <t>Not run</t>
        </is>
      </c>
      <c r="L37" s="3" t="inlineStr"/>
      <c r="M37" s="3" t="inlineStr"/>
      <c r="N37" s="3" t="inlineStr"/>
    </row>
    <row r="38">
      <c r="A38" s="3" t="inlineStr">
        <is>
          <t>F37</t>
        </is>
      </c>
      <c r="B38" s="3" t="inlineStr">
        <is>
          <t>Admin</t>
        </is>
      </c>
      <c r="C38" s="3" t="inlineStr">
        <is>
          <t>Privacy tools</t>
        </is>
      </c>
      <c r="D38" s="3" t="inlineStr">
        <is>
          <t>Staff Ada</t>
        </is>
      </c>
      <c r="E38" s="3" t="inlineStr">
        <is>
          <t>Test customer with paid order</t>
        </is>
      </c>
      <c r="F38" s="3" t="inlineStr">
        <is>
          <t>Privacy → export person → erase/anonymize.</t>
        </is>
      </c>
      <c r="G38" s="3" t="inlineStr">
        <is>
          <t>Export contains person's data; erase removes name/contact, keeps payment &amp; tax records.</t>
        </is>
      </c>
      <c r="H38" s="3" t="inlineStr">
        <is>
          <t>T15-03</t>
        </is>
      </c>
      <c r="I38" s="3" t="inlineStr">
        <is>
          <t>P0</t>
        </is>
      </c>
      <c r="J38" s="3" t="inlineStr">
        <is>
          <t>1440</t>
        </is>
      </c>
      <c r="K38" s="3" t="inlineStr">
        <is>
          <t>Not run</t>
        </is>
      </c>
      <c r="L38" s="3" t="inlineStr"/>
      <c r="M38" s="3" t="inlineStr"/>
      <c r="N38" s="3" t="inlineStr"/>
    </row>
    <row r="39">
      <c r="A39" s="3" t="inlineStr">
        <is>
          <t>F38</t>
        </is>
      </c>
      <c r="B39" s="3" t="inlineStr">
        <is>
          <t>Admin</t>
        </is>
      </c>
      <c r="C39" s="3" t="inlineStr">
        <is>
          <t>Incident switches</t>
        </is>
      </c>
      <c r="D39" s="3" t="inlineStr">
        <is>
          <t>Staff Ada</t>
        </is>
      </c>
      <c r="E39" s="3" t="inlineStr">
        <is>
          <t>Staging only</t>
        </is>
      </c>
      <c r="F39" s="3" t="inlineStr">
        <is>
          <t>Incidents → read-only mode, pause uploads, pause payments, revoke sessions, revoke guest links; then undo.</t>
        </is>
      </c>
      <c r="G39" s="3" t="inlineStr">
        <is>
          <t>Web shows matching banners/blocks; revoked sessions/links fail; MFA check; audited; all reversible.</t>
        </is>
      </c>
      <c r="H39" s="3" t="inlineStr">
        <is>
          <t>T15-05</t>
        </is>
      </c>
      <c r="I39" s="3" t="inlineStr">
        <is>
          <t>P1</t>
        </is>
      </c>
      <c r="J39" s="3" t="inlineStr">
        <is>
          <t>1440</t>
        </is>
      </c>
      <c r="K39" s="3" t="inlineStr">
        <is>
          <t>Not run</t>
        </is>
      </c>
      <c r="L39" s="3" t="inlineStr"/>
      <c r="M39" s="3" t="inlineStr"/>
      <c r="N39" s="3" t="inlineStr"/>
    </row>
    <row r="40">
      <c r="A40" s="3" t="inlineStr">
        <is>
          <t>F39</t>
        </is>
      </c>
      <c r="B40" s="3" t="inlineStr">
        <is>
          <t>Admin</t>
        </is>
      </c>
      <c r="C40" s="3" t="inlineStr">
        <is>
          <t>Notifications / emails</t>
        </is>
      </c>
      <c r="D40" s="3" t="inlineStr">
        <is>
          <t>Staff Ada</t>
        </is>
      </c>
      <c r="E40" s="3" t="inlineStr"/>
      <c r="F40" s="3" t="inlineStr">
        <is>
          <t>Trigger each customer email (quote sent, proof ready, balance due, dispatched, delivered, invite, reset).</t>
        </is>
      </c>
      <c r="G40" s="3" t="inlineStr">
        <is>
          <t>Each arrives once, correct links, branded, readable on mobile mail.</t>
        </is>
      </c>
      <c r="H40" s="3" t="inlineStr">
        <is>
          <t>PRD-00 §17</t>
        </is>
      </c>
      <c r="I40" s="3" t="inlineStr">
        <is>
          <t>P1</t>
        </is>
      </c>
      <c r="J40" s="3" t="inlineStr">
        <is>
          <t>375</t>
        </is>
      </c>
      <c r="K40" s="3" t="inlineStr">
        <is>
          <t>Not run</t>
        </is>
      </c>
      <c r="L40" s="3" t="inlineStr"/>
      <c r="M40" s="3" t="inlineStr"/>
      <c r="N40" s="3" t="inlineStr"/>
    </row>
  </sheetData>
  <autoFilter ref="A1:N40"/>
  <conditionalFormatting sqref="K2:K4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K2:K40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18" customWidth="1" min="4" max="4"/>
    <col width="30" customWidth="1" min="5" max="5"/>
    <col width="60" customWidth="1" min="6" max="6"/>
    <col width="60" customWidth="1" min="7" max="7"/>
    <col width="16" customWidth="1" min="8" max="8"/>
    <col width="8" customWidth="1" min="9" max="9"/>
    <col width="10" customWidth="1" min="10" max="10"/>
    <col width="10" customWidth="1" min="11" max="11"/>
    <col width="12" customWidth="1" min="12" max="12"/>
    <col width="11" customWidth="1" min="13" max="13"/>
    <col width="30" customWidth="1" min="14" max="14"/>
  </cols>
  <sheetData>
    <row r="1">
      <c r="A1" s="6" t="inlineStr">
        <is>
          <t>ID</t>
        </is>
      </c>
      <c r="B1" s="6" t="inlineStr">
        <is>
          <t>Area</t>
        </is>
      </c>
      <c r="C1" s="6" t="inlineStr">
        <is>
          <t>Scenario</t>
        </is>
      </c>
      <c r="D1" s="6" t="inlineStr">
        <is>
          <t>Persona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Refs</t>
        </is>
      </c>
      <c r="I1" s="6" t="inlineStr">
        <is>
          <t>Priority</t>
        </is>
      </c>
      <c r="J1" s="6" t="inlineStr">
        <is>
          <t>Viewport</t>
        </is>
      </c>
      <c r="K1" s="6" t="inlineStr">
        <is>
          <t>Result</t>
        </is>
      </c>
      <c r="L1" s="6" t="inlineStr">
        <is>
          <t>Tester</t>
        </is>
      </c>
      <c r="M1" s="6" t="inlineStr">
        <is>
          <t>Date</t>
        </is>
      </c>
      <c r="N1" s="6" t="inlineStr">
        <is>
          <t>Bug / notes</t>
        </is>
      </c>
    </row>
    <row r="2">
      <c r="A2" s="3" t="inlineStr">
        <is>
          <t>P01</t>
        </is>
      </c>
      <c r="B2" s="3" t="inlineStr">
        <is>
          <t>Customer isolation</t>
        </is>
      </c>
      <c r="C2" s="3" t="inlineStr">
        <is>
          <t>Customer A opens Customer B's records</t>
        </is>
      </c>
      <c r="D2" s="3" t="inlineStr">
        <is>
          <t>Customer Chidi</t>
        </is>
      </c>
      <c r="E2" s="3" t="inlineStr">
        <is>
          <t>Amaka has config, project, quote, proof, order, receipt</t>
        </is>
      </c>
      <c r="F2" s="3" t="inlineStr">
        <is>
          <t>Signed in as Chidi, paste each of Amaka's URLs.</t>
        </is>
      </c>
      <c r="G2" s="3" t="inlineStr">
        <is>
          <t>404/403 for every record; no data leak in page or network.</t>
        </is>
      </c>
      <c r="H2" s="3" t="inlineStr">
        <is>
          <t>TECH-03 §17</t>
        </is>
      </c>
      <c r="I2" s="3" t="inlineStr">
        <is>
          <t>P0</t>
        </is>
      </c>
      <c r="J2" s="3" t="inlineStr">
        <is>
          <t>1440</t>
        </is>
      </c>
      <c r="K2" s="3" t="inlineStr">
        <is>
          <t>Not run</t>
        </is>
      </c>
      <c r="L2" s="3" t="inlineStr"/>
      <c r="M2" s="3" t="inlineStr"/>
      <c r="N2" s="3" t="inlineStr"/>
    </row>
    <row r="3">
      <c r="A3" s="3" t="inlineStr">
        <is>
          <t>P02</t>
        </is>
      </c>
      <c r="B3" s="3" t="inlineStr">
        <is>
          <t>Guest links</t>
        </is>
      </c>
      <c r="C3" s="3" t="inlineStr">
        <is>
          <t>Guest link for one order opens another</t>
        </is>
      </c>
      <c r="D3" s="3" t="inlineStr">
        <is>
          <t>Guest</t>
        </is>
      </c>
      <c r="E3" s="3" t="inlineStr">
        <is>
          <t>Two guest orders</t>
        </is>
      </c>
      <c r="F3" s="3" t="inlineStr">
        <is>
          <t>Edit the id in a guest order/proof/quote link.</t>
        </is>
      </c>
      <c r="G3" s="3" t="inlineStr">
        <is>
          <t>Denied; no list of that customer's other orders.</t>
        </is>
      </c>
      <c r="H3" s="3" t="inlineStr">
        <is>
          <t>TECH-03 §17</t>
        </is>
      </c>
      <c r="I3" s="3" t="inlineStr">
        <is>
          <t>P0</t>
        </is>
      </c>
      <c r="J3" s="3" t="inlineStr">
        <is>
          <t>1440</t>
        </is>
      </c>
      <c r="K3" s="3" t="inlineStr">
        <is>
          <t>Not run</t>
        </is>
      </c>
      <c r="L3" s="3" t="inlineStr"/>
      <c r="M3" s="3" t="inlineStr"/>
      <c r="N3" s="3" t="inlineStr"/>
    </row>
    <row r="4">
      <c r="A4" s="3" t="inlineStr">
        <is>
          <t>P03</t>
        </is>
      </c>
      <c r="B4" s="3" t="inlineStr">
        <is>
          <t>Guest links</t>
        </is>
      </c>
      <c r="C4" s="3" t="inlineStr">
        <is>
          <t>Expired / revoked links</t>
        </is>
      </c>
      <c r="D4" s="3" t="inlineStr">
        <is>
          <t>Guest</t>
        </is>
      </c>
      <c r="E4" s="3" t="inlineStr">
        <is>
          <t>Link revoked in admin or expired</t>
        </is>
      </c>
      <c r="F4" s="3" t="inlineStr">
        <is>
          <t>Open the link.</t>
        </is>
      </c>
      <c r="G4" s="3" t="inlineStr">
        <is>
          <t>Clear 'link no longer valid' with resend option; no data.</t>
        </is>
      </c>
      <c r="H4" s="3" t="inlineStr">
        <is>
          <t>TECH-03 §17</t>
        </is>
      </c>
      <c r="I4" s="3" t="inlineStr">
        <is>
          <t>P0</t>
        </is>
      </c>
      <c r="J4" s="3" t="inlineStr">
        <is>
          <t>375</t>
        </is>
      </c>
      <c r="K4" s="3" t="inlineStr">
        <is>
          <t>Not run</t>
        </is>
      </c>
      <c r="L4" s="3" t="inlineStr"/>
      <c r="M4" s="3" t="inlineStr"/>
      <c r="N4" s="3" t="inlineStr"/>
    </row>
    <row r="5">
      <c r="A5" s="3" t="inlineStr">
        <is>
          <t>P04</t>
        </is>
      </c>
      <c r="B5" s="3" t="inlineStr">
        <is>
          <t>Organizations</t>
        </is>
      </c>
      <c r="C5" s="3" t="inlineStr">
        <is>
          <t>Org A reads Org B</t>
        </is>
      </c>
      <c r="D5" s="3" t="inlineStr">
        <is>
          <t>ACME member</t>
        </is>
      </c>
      <c r="E5" s="3" t="inlineStr">
        <is>
          <t>Second org exists</t>
        </is>
      </c>
      <c r="F5" s="3" t="inlineStr">
        <is>
          <t>Paste Org B workspace URLs.</t>
        </is>
      </c>
      <c r="G5" s="3" t="inlineStr">
        <is>
          <t>Denied.</t>
        </is>
      </c>
      <c r="H5" s="3" t="inlineStr">
        <is>
          <t>TECH-03 §17</t>
        </is>
      </c>
      <c r="I5" s="3" t="inlineStr">
        <is>
          <t>P0</t>
        </is>
      </c>
      <c r="J5" s="3" t="inlineStr">
        <is>
          <t>1440</t>
        </is>
      </c>
      <c r="K5" s="3" t="inlineStr">
        <is>
          <t>Not run</t>
        </is>
      </c>
      <c r="L5" s="3" t="inlineStr"/>
      <c r="M5" s="3" t="inlineStr"/>
      <c r="N5" s="3" t="inlineStr"/>
    </row>
    <row r="6">
      <c r="A6" s="3" t="inlineStr">
        <is>
          <t>P05</t>
        </is>
      </c>
      <c r="B6" s="3" t="inlineStr">
        <is>
          <t>Locations</t>
        </is>
      </c>
      <c r="C6" s="3" t="inlineStr">
        <is>
          <t>Lekki manager sees VI</t>
        </is>
      </c>
      <c r="D6" s="3" t="inlineStr">
        <is>
          <t>Location Mgr Adaeze</t>
        </is>
      </c>
      <c r="E6" s="3" t="inlineStr">
        <is>
          <t>VI orders exist</t>
        </is>
      </c>
      <c r="F6" s="3" t="inlineStr">
        <is>
          <t>Browse orders/groups/search; paste VI record URL.</t>
        </is>
      </c>
      <c r="G6" s="3" t="inlineStr">
        <is>
          <t>VI records absent and denied.</t>
        </is>
      </c>
      <c r="H6" s="3" t="inlineStr">
        <is>
          <t>TECH-03 §17</t>
        </is>
      </c>
      <c r="I6" s="3" t="inlineStr">
        <is>
          <t>P0</t>
        </is>
      </c>
      <c r="J6" s="3" t="inlineStr">
        <is>
          <t>1440</t>
        </is>
      </c>
      <c r="K6" s="3" t="inlineStr">
        <is>
          <t>Not run</t>
        </is>
      </c>
      <c r="L6" s="3" t="inlineStr"/>
      <c r="M6" s="3" t="inlineStr"/>
      <c r="N6" s="3" t="inlineStr"/>
    </row>
    <row r="7">
      <c r="A7" s="3" t="inlineStr">
        <is>
          <t>P06</t>
        </is>
      </c>
      <c r="B7" s="3" t="inlineStr">
        <is>
          <t>Participants</t>
        </is>
      </c>
      <c r="C7" s="3" t="inlineStr">
        <is>
          <t>Participant reads another submission</t>
        </is>
      </c>
      <c r="D7" s="3" t="inlineStr">
        <is>
          <t>Participant</t>
        </is>
      </c>
      <c r="E7" s="3" t="inlineStr">
        <is>
          <t>Two participant links</t>
        </is>
      </c>
      <c r="F7" s="3" t="inlineStr">
        <is>
          <t>Swap participant id in /collections/submissions/[id].</t>
        </is>
      </c>
      <c r="G7" s="3" t="inlineStr">
        <is>
          <t>Denied; no peer names.</t>
        </is>
      </c>
      <c r="H7" s="3" t="inlineStr">
        <is>
          <t>TECH-03 §17</t>
        </is>
      </c>
      <c r="I7" s="3" t="inlineStr">
        <is>
          <t>P0</t>
        </is>
      </c>
      <c r="J7" s="3" t="inlineStr">
        <is>
          <t>375</t>
        </is>
      </c>
      <c r="K7" s="3" t="inlineStr">
        <is>
          <t>Not run</t>
        </is>
      </c>
      <c r="L7" s="3" t="inlineStr"/>
      <c r="M7" s="3" t="inlineStr"/>
      <c r="N7" s="3" t="inlineStr"/>
    </row>
    <row r="8">
      <c r="A8" s="3" t="inlineStr">
        <is>
          <t>P07</t>
        </is>
      </c>
      <c r="B8" s="3" t="inlineStr">
        <is>
          <t>Roles</t>
        </is>
      </c>
      <c r="C8" s="3" t="inlineStr">
        <is>
          <t>Viewer cannot change anything</t>
        </is>
      </c>
      <c r="D8" s="3" t="inlineStr">
        <is>
          <t>Viewer Sam</t>
        </is>
      </c>
      <c r="E8" s="3" t="inlineStr"/>
      <c r="F8" s="3" t="inlineStr">
        <is>
          <t>Try every edit/approve/accept/invite button and direct API calls.</t>
        </is>
      </c>
      <c r="G8" s="3" t="inlineStr">
        <is>
          <t>Buttons hidden/disabled; API 403.</t>
        </is>
      </c>
      <c r="H8" s="3" t="inlineStr">
        <is>
          <t>TECH-03 §17</t>
        </is>
      </c>
      <c r="I8" s="3" t="inlineStr">
        <is>
          <t>P0</t>
        </is>
      </c>
      <c r="J8" s="3" t="inlineStr">
        <is>
          <t>1440</t>
        </is>
      </c>
      <c r="K8" s="3" t="inlineStr">
        <is>
          <t>Not run</t>
        </is>
      </c>
      <c r="L8" s="3" t="inlineStr"/>
      <c r="M8" s="3" t="inlineStr"/>
      <c r="N8" s="3" t="inlineStr"/>
    </row>
    <row r="9">
      <c r="A9" s="3" t="inlineStr">
        <is>
          <t>P08</t>
        </is>
      </c>
      <c r="B9" s="3" t="inlineStr">
        <is>
          <t>Roles</t>
        </is>
      </c>
      <c r="C9" s="3" t="inlineStr">
        <is>
          <t>Approver cannot accept quote</t>
        </is>
      </c>
      <c r="D9" s="3" t="inlineStr">
        <is>
          <t>Approver Kemi</t>
        </is>
      </c>
      <c r="E9" s="3" t="inlineStr">
        <is>
          <t>Quote READY</t>
        </is>
      </c>
      <c r="F9" s="3" t="inlineStr">
        <is>
          <t>Open quote → Accept.</t>
        </is>
      </c>
      <c r="G9" s="3" t="inlineStr">
        <is>
          <t>Blocked unless separately granted accept-quote.</t>
        </is>
      </c>
      <c r="H9" s="3" t="inlineStr">
        <is>
          <t>TECH-03 §17</t>
        </is>
      </c>
      <c r="I9" s="3" t="inlineStr">
        <is>
          <t>P0</t>
        </is>
      </c>
      <c r="J9" s="3" t="inlineStr">
        <is>
          <t>1440</t>
        </is>
      </c>
      <c r="K9" s="3" t="inlineStr">
        <is>
          <t>Not run</t>
        </is>
      </c>
      <c r="L9" s="3" t="inlineStr"/>
      <c r="M9" s="3" t="inlineStr"/>
      <c r="N9" s="3" t="inlineStr"/>
    </row>
    <row r="10">
      <c r="A10" s="3" t="inlineStr">
        <is>
          <t>P09</t>
        </is>
      </c>
      <c r="B10" s="3" t="inlineStr">
        <is>
          <t>Roles</t>
        </is>
      </c>
      <c r="C10" s="3" t="inlineStr">
        <is>
          <t>Buyer approves own request</t>
        </is>
      </c>
      <c r="D10" s="3" t="inlineStr">
        <is>
          <t>Buyer Tunde</t>
        </is>
      </c>
      <c r="E10" s="3" t="inlineStr">
        <is>
          <t>Separation on</t>
        </is>
      </c>
      <c r="F10" s="3" t="inlineStr">
        <is>
          <t>Submit request, try to approve it.</t>
        </is>
      </c>
      <c r="G10" s="3" t="inlineStr">
        <is>
          <t>Blocked.</t>
        </is>
      </c>
      <c r="H10" s="3" t="inlineStr">
        <is>
          <t>TECH-03 §17</t>
        </is>
      </c>
      <c r="I10" s="3" t="inlineStr">
        <is>
          <t>P0</t>
        </is>
      </c>
      <c r="J10" s="3" t="inlineStr">
        <is>
          <t>1440</t>
        </is>
      </c>
      <c r="K10" s="3" t="inlineStr">
        <is>
          <t>Not run</t>
        </is>
      </c>
      <c r="L10" s="3" t="inlineStr"/>
      <c r="M10" s="3" t="inlineStr"/>
      <c r="N10" s="3" t="inlineStr"/>
    </row>
    <row r="11">
      <c r="A11" s="3" t="inlineStr">
        <is>
          <t>P10</t>
        </is>
      </c>
      <c r="B11" s="3" t="inlineStr">
        <is>
          <t>Roles</t>
        </is>
      </c>
      <c r="C11" s="3" t="inlineStr">
        <is>
          <t>Remove last Owner</t>
        </is>
      </c>
      <c r="D11" s="3" t="inlineStr">
        <is>
          <t>ACME Owner</t>
        </is>
      </c>
      <c r="E11" s="3" t="inlineStr">
        <is>
          <t>Single owner</t>
        </is>
      </c>
      <c r="F11" s="3" t="inlineStr">
        <is>
          <t>Team → remove/demote self.</t>
        </is>
      </c>
      <c r="G11" s="3" t="inlineStr">
        <is>
          <t>Blocked with reason.</t>
        </is>
      </c>
      <c r="H11" s="3" t="inlineStr">
        <is>
          <t>TECH-03 §17</t>
        </is>
      </c>
      <c r="I11" s="3" t="inlineStr">
        <is>
          <t>P0</t>
        </is>
      </c>
      <c r="J11" s="3" t="inlineStr">
        <is>
          <t>1440</t>
        </is>
      </c>
      <c r="K11" s="3" t="inlineStr">
        <is>
          <t>Not run</t>
        </is>
      </c>
      <c r="L11" s="3" t="inlineStr"/>
      <c r="M11" s="3" t="inlineStr"/>
      <c r="N11" s="3" t="inlineStr"/>
    </row>
    <row r="12">
      <c r="A12" s="3" t="inlineStr">
        <is>
          <t>P11</t>
        </is>
      </c>
      <c r="B12" s="3" t="inlineStr">
        <is>
          <t>Roles</t>
        </is>
      </c>
      <c r="C12" s="3" t="inlineStr">
        <is>
          <t>Deactivated member</t>
        </is>
      </c>
      <c r="D12" s="3" t="inlineStr">
        <is>
          <t>ACME Admin Bola</t>
        </is>
      </c>
      <c r="E12" s="3" t="inlineStr">
        <is>
          <t>Bola signed in in another browser</t>
        </is>
      </c>
      <c r="F12" s="3" t="inlineStr">
        <is>
          <t>Owner deactivates Bola; Bola refreshes.</t>
        </is>
      </c>
      <c r="G12" s="3" t="inlineStr">
        <is>
          <t>Access lost immediately; past audit actions remain.</t>
        </is>
      </c>
      <c r="H12" s="3" t="inlineStr">
        <is>
          <t>TECH-03 §17</t>
        </is>
      </c>
      <c r="I12" s="3" t="inlineStr">
        <is>
          <t>P0</t>
        </is>
      </c>
      <c r="J12" s="3" t="inlineStr">
        <is>
          <t>1440</t>
        </is>
      </c>
      <c r="K12" s="3" t="inlineStr">
        <is>
          <t>Not run</t>
        </is>
      </c>
      <c r="L12" s="3" t="inlineStr"/>
      <c r="M12" s="3" t="inlineStr"/>
      <c r="N12" s="3" t="inlineStr"/>
    </row>
    <row r="13">
      <c r="A13" s="3" t="inlineStr">
        <is>
          <t>P12</t>
        </is>
      </c>
      <c r="B13" s="3" t="inlineStr">
        <is>
          <t>Staff</t>
        </is>
      </c>
      <c r="C13" s="3" t="inlineStr">
        <is>
          <t>Staff without permission</t>
        </is>
      </c>
      <c r="D13" s="3" t="inlineStr">
        <is>
          <t>Staff Kemi (CATALOGUE only)</t>
        </is>
      </c>
      <c r="E13" s="3" t="inlineStr"/>
      <c r="F13" s="3" t="inlineStr">
        <is>
          <t>Open payments, refunds, staff, privacy pages / actions.</t>
        </is>
      </c>
      <c r="G13" s="3" t="inlineStr">
        <is>
          <t>403 / hidden on each.</t>
        </is>
      </c>
      <c r="H13" s="3" t="inlineStr">
        <is>
          <t>TECH-03 §17</t>
        </is>
      </c>
      <c r="I13" s="3" t="inlineStr">
        <is>
          <t>P0</t>
        </is>
      </c>
      <c r="J13" s="3" t="inlineStr">
        <is>
          <t>1440</t>
        </is>
      </c>
      <c r="K13" s="3" t="inlineStr">
        <is>
          <t>Not run</t>
        </is>
      </c>
      <c r="L13" s="3" t="inlineStr"/>
      <c r="M13" s="3" t="inlineStr"/>
      <c r="N13" s="3" t="inlineStr"/>
    </row>
    <row r="14">
      <c r="A14" s="3" t="inlineStr">
        <is>
          <t>P13</t>
        </is>
      </c>
      <c r="B14" s="3" t="inlineStr">
        <is>
          <t>Step-up</t>
        </is>
      </c>
      <c r="C14" s="3" t="inlineStr">
        <is>
          <t>Accept quote / approve proof without recent email code</t>
        </is>
      </c>
      <c r="D14" s="3" t="inlineStr">
        <is>
          <t>Guest</t>
        </is>
      </c>
      <c r="E14" s="3" t="inlineStr">
        <is>
          <t>Old session</t>
        </is>
      </c>
      <c r="F14" s="3" t="inlineStr">
        <is>
          <t>Accept quote and approve proof without fresh code.</t>
        </is>
      </c>
      <c r="G14" s="3" t="inlineStr">
        <is>
          <t>Asks for email code; fails without it.</t>
        </is>
      </c>
      <c r="H14" s="3" t="inlineStr">
        <is>
          <t>TECH-03 §17</t>
        </is>
      </c>
      <c r="I14" s="3" t="inlineStr">
        <is>
          <t>P0</t>
        </is>
      </c>
      <c r="J14" s="3" t="inlineStr">
        <is>
          <t>375</t>
        </is>
      </c>
      <c r="K14" s="3" t="inlineStr">
        <is>
          <t>Not run</t>
        </is>
      </c>
      <c r="L14" s="3" t="inlineStr"/>
      <c r="M14" s="3" t="inlineStr"/>
      <c r="N14" s="3" t="inlineStr"/>
    </row>
    <row r="15">
      <c r="A15" s="3" t="inlineStr">
        <is>
          <t>P14</t>
        </is>
      </c>
      <c r="B15" s="3" t="inlineStr">
        <is>
          <t>Abuse</t>
        </is>
      </c>
      <c r="C15" s="3" t="inlineStr">
        <is>
          <t>Rate limits</t>
        </is>
      </c>
      <c r="D15" s="3" t="inlineStr">
        <is>
          <t>Guest</t>
        </is>
      </c>
      <c r="E15" s="3" t="inlineStr"/>
      <c r="F15" s="3" t="inlineStr">
        <is>
          <t>Hammer sign-in, reset, /track, help form.</t>
        </is>
      </c>
      <c r="G15" s="3" t="inlineStr">
        <is>
          <t>429 with friendly message after limit.</t>
        </is>
      </c>
      <c r="H15" s="3" t="inlineStr">
        <is>
          <t>T15-01</t>
        </is>
      </c>
      <c r="I15" s="3" t="inlineStr">
        <is>
          <t>P1</t>
        </is>
      </c>
      <c r="J15" s="3" t="inlineStr">
        <is>
          <t>1440</t>
        </is>
      </c>
      <c r="K15" s="3" t="inlineStr">
        <is>
          <t>Not run</t>
        </is>
      </c>
      <c r="L15" s="3" t="inlineStr"/>
      <c r="M15" s="3" t="inlineStr"/>
      <c r="N15" s="3" t="inlineStr"/>
    </row>
    <row r="16">
      <c r="A16" s="3" t="inlineStr">
        <is>
          <t>P15</t>
        </is>
      </c>
      <c r="B16" s="3" t="inlineStr">
        <is>
          <t>Headers</t>
        </is>
      </c>
      <c r="C16" s="3" t="inlineStr">
        <is>
          <t>Security headers</t>
        </is>
      </c>
      <c r="D16" s="3" t="inlineStr">
        <is>
          <t>Guest</t>
        </is>
      </c>
      <c r="E16" s="3" t="inlineStr"/>
      <c r="F16" s="3" t="inlineStr">
        <is>
          <t>DevTools → response headers on web, admin, API.</t>
        </is>
      </c>
      <c r="G16" s="3" t="inlineStr">
        <is>
          <t>CSP, HSTS, X-Frame-Options/frame-ancestors, Referrer-Policy present.</t>
        </is>
      </c>
      <c r="H16" s="3" t="inlineStr">
        <is>
          <t>T15-01</t>
        </is>
      </c>
      <c r="I16" s="3" t="inlineStr">
        <is>
          <t>P1</t>
        </is>
      </c>
      <c r="J16" s="3" t="inlineStr">
        <is>
          <t>1440</t>
        </is>
      </c>
      <c r="K16" s="3" t="inlineStr">
        <is>
          <t>Not run</t>
        </is>
      </c>
      <c r="L16" s="3" t="inlineStr"/>
      <c r="M16" s="3" t="inlineStr"/>
      <c r="N16" s="3" t="inlineStr"/>
    </row>
  </sheetData>
  <autoFilter ref="A1:N16"/>
  <conditionalFormatting sqref="K2:K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K2:K16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18" customWidth="1" min="4" max="4"/>
    <col width="30" customWidth="1" min="5" max="5"/>
    <col width="60" customWidth="1" min="6" max="6"/>
    <col width="60" customWidth="1" min="7" max="7"/>
    <col width="16" customWidth="1" min="8" max="8"/>
    <col width="8" customWidth="1" min="9" max="9"/>
    <col width="10" customWidth="1" min="10" max="10"/>
    <col width="10" customWidth="1" min="11" max="11"/>
    <col width="12" customWidth="1" min="12" max="12"/>
    <col width="11" customWidth="1" min="13" max="13"/>
    <col width="30" customWidth="1" min="14" max="14"/>
  </cols>
  <sheetData>
    <row r="1">
      <c r="A1" s="6" t="inlineStr">
        <is>
          <t>ID</t>
        </is>
      </c>
      <c r="B1" s="6" t="inlineStr">
        <is>
          <t>Area</t>
        </is>
      </c>
      <c r="C1" s="6" t="inlineStr">
        <is>
          <t>Scenario</t>
        </is>
      </c>
      <c r="D1" s="6" t="inlineStr">
        <is>
          <t>Persona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Refs</t>
        </is>
      </c>
      <c r="I1" s="6" t="inlineStr">
        <is>
          <t>Priority</t>
        </is>
      </c>
      <c r="J1" s="6" t="inlineStr">
        <is>
          <t>Viewport</t>
        </is>
      </c>
      <c r="K1" s="6" t="inlineStr">
        <is>
          <t>Result</t>
        </is>
      </c>
      <c r="L1" s="6" t="inlineStr">
        <is>
          <t>Tester</t>
        </is>
      </c>
      <c r="M1" s="6" t="inlineStr">
        <is>
          <t>Date</t>
        </is>
      </c>
      <c r="N1" s="6" t="inlineStr">
        <is>
          <t>Bug / notes</t>
        </is>
      </c>
    </row>
    <row r="2">
      <c r="A2" s="3" t="inlineStr">
        <is>
          <t>X01</t>
        </is>
      </c>
      <c r="B2" s="3" t="inlineStr">
        <is>
          <t>Responsive</t>
        </is>
      </c>
      <c r="C2" s="3" t="inlineStr">
        <is>
          <t>Key screens at 375 px</t>
        </is>
      </c>
      <c r="D2" s="3" t="inlineStr">
        <is>
          <t>Any</t>
        </is>
      </c>
      <c r="E2" s="3" t="inlineStr"/>
      <c r="F2" s="3" t="inlineStr">
        <is>
          <t>Home, PDP/configurator, cart, checkout, project builder, quote, proof, order, participant form, store, workspace home.</t>
        </is>
      </c>
      <c r="G2" s="3" t="inlineStr">
        <is>
          <t>No horizontal scroll; tap targets ≥44 px; sticky actions don't hide content.</t>
        </is>
      </c>
      <c r="H2" s="3" t="inlineStr">
        <is>
          <t>DESIGN-SYSTEM</t>
        </is>
      </c>
      <c r="I2" s="3" t="inlineStr">
        <is>
          <t>P0</t>
        </is>
      </c>
      <c r="J2" s="3" t="inlineStr">
        <is>
          <t>375</t>
        </is>
      </c>
      <c r="K2" s="3" t="inlineStr">
        <is>
          <t>Not run</t>
        </is>
      </c>
      <c r="L2" s="3" t="inlineStr"/>
      <c r="M2" s="3" t="inlineStr"/>
      <c r="N2" s="3" t="inlineStr"/>
    </row>
    <row r="3">
      <c r="A3" s="3" t="inlineStr">
        <is>
          <t>X02</t>
        </is>
      </c>
      <c r="B3" s="3" t="inlineStr">
        <is>
          <t>Responsive</t>
        </is>
      </c>
      <c r="C3" s="3" t="inlineStr">
        <is>
          <t>Same screens at 1440 px vs Pen</t>
        </is>
      </c>
      <c r="D3" s="3" t="inlineStr">
        <is>
          <t>Any</t>
        </is>
      </c>
      <c r="E3" s="3" t="inlineStr">
        <is>
          <t>Pen open</t>
        </is>
      </c>
      <c r="F3" s="3" t="inlineStr">
        <is>
          <t>Compare with SCREEN-MAP frames.</t>
        </is>
      </c>
      <c r="G3" s="3" t="inlineStr">
        <is>
          <t>Matches layout, spacing, type; log differences.</t>
        </is>
      </c>
      <c r="H3" s="3" t="inlineStr">
        <is>
          <t>SCREEN-MAP</t>
        </is>
      </c>
      <c r="I3" s="3" t="inlineStr">
        <is>
          <t>P1</t>
        </is>
      </c>
      <c r="J3" s="3" t="inlineStr">
        <is>
          <t>1440</t>
        </is>
      </c>
      <c r="K3" s="3" t="inlineStr">
        <is>
          <t>Not run</t>
        </is>
      </c>
      <c r="L3" s="3" t="inlineStr"/>
      <c r="M3" s="3" t="inlineStr"/>
      <c r="N3" s="3" t="inlineStr"/>
    </row>
    <row r="4">
      <c r="A4" s="3" t="inlineStr">
        <is>
          <t>X03</t>
        </is>
      </c>
      <c r="B4" s="3" t="inlineStr">
        <is>
          <t>Responsive</t>
        </is>
      </c>
      <c r="C4" s="3" t="inlineStr">
        <is>
          <t>320 px + 200% text zoom</t>
        </is>
      </c>
      <c r="D4" s="3" t="inlineStr">
        <is>
          <t>Any</t>
        </is>
      </c>
      <c r="E4" s="3" t="inlineStr"/>
      <c r="F4" s="3" t="inlineStr">
        <is>
          <t>Product, search, case study, checkout.</t>
        </is>
      </c>
      <c r="G4" s="3" t="inlineStr">
        <is>
          <t>Reflows without loss.</t>
        </is>
      </c>
      <c r="H4" s="3" t="inlineStr">
        <is>
          <t>T14-03</t>
        </is>
      </c>
      <c r="I4" s="3" t="inlineStr">
        <is>
          <t>P2</t>
        </is>
      </c>
      <c r="J4" s="3" t="inlineStr">
        <is>
          <t>320</t>
        </is>
      </c>
      <c r="K4" s="3" t="inlineStr">
        <is>
          <t>Not run</t>
        </is>
      </c>
      <c r="L4" s="3" t="inlineStr"/>
      <c r="M4" s="3" t="inlineStr"/>
      <c r="N4" s="3" t="inlineStr"/>
    </row>
    <row r="5">
      <c r="A5" s="3" t="inlineStr">
        <is>
          <t>X04</t>
        </is>
      </c>
      <c r="B5" s="3" t="inlineStr">
        <is>
          <t>Accessibility</t>
        </is>
      </c>
      <c r="C5" s="3" t="inlineStr">
        <is>
          <t>Keyboard only</t>
        </is>
      </c>
      <c r="D5" s="3" t="inlineStr">
        <is>
          <t>Any</t>
        </is>
      </c>
      <c r="E5" s="3" t="inlineStr"/>
      <c r="F5" s="3" t="inlineStr">
        <is>
          <t>Complete J02 with keyboard only.</t>
        </is>
      </c>
      <c r="G5" s="3" t="inlineStr">
        <is>
          <t>Visible focus; logical order; dialogs trap and return focus; skip link.</t>
        </is>
      </c>
      <c r="H5" s="3" t="inlineStr">
        <is>
          <t>T14-03</t>
        </is>
      </c>
      <c r="I5" s="3" t="inlineStr">
        <is>
          <t>P0</t>
        </is>
      </c>
      <c r="J5" s="3" t="inlineStr">
        <is>
          <t>1440</t>
        </is>
      </c>
      <c r="K5" s="3" t="inlineStr">
        <is>
          <t>Not run</t>
        </is>
      </c>
      <c r="L5" s="3" t="inlineStr"/>
      <c r="M5" s="3" t="inlineStr"/>
      <c r="N5" s="3" t="inlineStr"/>
    </row>
    <row r="6">
      <c r="A6" s="3" t="inlineStr">
        <is>
          <t>X05</t>
        </is>
      </c>
      <c r="B6" s="3" t="inlineStr">
        <is>
          <t>Accessibility</t>
        </is>
      </c>
      <c r="C6" s="3" t="inlineStr">
        <is>
          <t>Screen reader spot check</t>
        </is>
      </c>
      <c r="D6" s="3" t="inlineStr">
        <is>
          <t>Any</t>
        </is>
      </c>
      <c r="E6" s="3" t="inlineStr">
        <is>
          <t>VoiceOver</t>
        </is>
      </c>
      <c r="F6" s="3" t="inlineStr">
        <is>
          <t>Configurator, checkout, proof decision.</t>
        </is>
      </c>
      <c r="G6" s="3" t="inlineStr">
        <is>
          <t>Labels, errors and status changes announced.</t>
        </is>
      </c>
      <c r="H6" s="3" t="inlineStr">
        <is>
          <t>T14-03</t>
        </is>
      </c>
      <c r="I6" s="3" t="inlineStr">
        <is>
          <t>P1</t>
        </is>
      </c>
      <c r="J6" s="3" t="inlineStr">
        <is>
          <t>375 + 1440</t>
        </is>
      </c>
      <c r="K6" s="3" t="inlineStr">
        <is>
          <t>Not run</t>
        </is>
      </c>
      <c r="L6" s="3" t="inlineStr"/>
      <c r="M6" s="3" t="inlineStr"/>
      <c r="N6" s="3" t="inlineStr"/>
    </row>
    <row r="7">
      <c r="A7" s="3" t="inlineStr">
        <is>
          <t>X06</t>
        </is>
      </c>
      <c r="B7" s="3" t="inlineStr">
        <is>
          <t>Accessibility</t>
        </is>
      </c>
      <c r="C7" s="3" t="inlineStr">
        <is>
          <t>Reduced motion &amp; contrast</t>
        </is>
      </c>
      <c r="D7" s="3" t="inlineStr">
        <is>
          <t>Any</t>
        </is>
      </c>
      <c r="E7" s="3" t="inlineStr">
        <is>
          <t>OS reduced motion on</t>
        </is>
      </c>
      <c r="F7" s="3" t="inlineStr">
        <is>
          <t>Browse key screens.</t>
        </is>
      </c>
      <c r="G7" s="3" t="inlineStr">
        <is>
          <t>Animations reduced; text contrast AA.</t>
        </is>
      </c>
      <c r="H7" s="3" t="inlineStr">
        <is>
          <t>T14-03</t>
        </is>
      </c>
      <c r="I7" s="3" t="inlineStr">
        <is>
          <t>P2</t>
        </is>
      </c>
      <c r="J7" s="3" t="inlineStr">
        <is>
          <t>1440</t>
        </is>
      </c>
      <c r="K7" s="3" t="inlineStr">
        <is>
          <t>Not run</t>
        </is>
      </c>
      <c r="L7" s="3" t="inlineStr"/>
      <c r="M7" s="3" t="inlineStr"/>
      <c r="N7" s="3" t="inlineStr"/>
    </row>
    <row r="8">
      <c r="A8" s="3" t="inlineStr">
        <is>
          <t>X07</t>
        </is>
      </c>
      <c r="B8" s="3" t="inlineStr">
        <is>
          <t>Browsers</t>
        </is>
      </c>
      <c r="C8" s="3" t="inlineStr">
        <is>
          <t>Cross-browser</t>
        </is>
      </c>
      <c r="D8" s="3" t="inlineStr">
        <is>
          <t>Any</t>
        </is>
      </c>
      <c r="E8" s="3" t="inlineStr"/>
      <c r="F8" s="3" t="inlineStr">
        <is>
          <t>Run J02 on Safari iOS, Chrome Android, Safari macOS, Chrome, Firefox, Edge.</t>
        </is>
      </c>
      <c r="G8" s="3" t="inlineStr">
        <is>
          <t>Works on each; Paystack popup opens on mobile.</t>
        </is>
      </c>
      <c r="H8" s="3" t="inlineStr">
        <is>
          <t>TECH-07</t>
        </is>
      </c>
      <c r="I8" s="3" t="inlineStr">
        <is>
          <t>P1</t>
        </is>
      </c>
      <c r="J8" s="3" t="inlineStr">
        <is>
          <t>375 + 1440</t>
        </is>
      </c>
      <c r="K8" s="3" t="inlineStr">
        <is>
          <t>Not run</t>
        </is>
      </c>
      <c r="L8" s="3" t="inlineStr"/>
      <c r="M8" s="3" t="inlineStr"/>
      <c r="N8" s="3" t="inlineStr"/>
    </row>
    <row r="9">
      <c r="A9" s="3" t="inlineStr">
        <is>
          <t>X08</t>
        </is>
      </c>
      <c r="B9" s="3" t="inlineStr">
        <is>
          <t>Forms</t>
        </is>
      </c>
      <c r="C9" s="3" t="inlineStr">
        <is>
          <t>New form controls</t>
        </is>
      </c>
      <c r="D9" s="3" t="inlineStr">
        <is>
          <t>Any</t>
        </is>
      </c>
      <c r="E9" s="3" t="inlineStr"/>
      <c r="F9" s="3" t="inlineStr">
        <is>
          <t>Date picker, styled selects, choice controls with mouse, touch and keyboard.</t>
        </is>
      </c>
      <c r="G9" s="3" t="inlineStr">
        <is>
          <t>Usable on touch; sizes moderate on desktop; native fallback OK.</t>
        </is>
      </c>
      <c r="H9" s="3" t="inlineStr">
        <is>
          <t>PR #136</t>
        </is>
      </c>
      <c r="I9" s="3" t="inlineStr">
        <is>
          <t>P1</t>
        </is>
      </c>
      <c r="J9" s="3" t="inlineStr">
        <is>
          <t>375 + 1440</t>
        </is>
      </c>
      <c r="K9" s="3" t="inlineStr">
        <is>
          <t>Not run</t>
        </is>
      </c>
      <c r="L9" s="3" t="inlineStr"/>
      <c r="M9" s="3" t="inlineStr"/>
      <c r="N9" s="3" t="inlineStr"/>
    </row>
    <row r="10">
      <c r="A10" s="3" t="inlineStr">
        <is>
          <t>X09</t>
        </is>
      </c>
      <c r="B10" s="3" t="inlineStr">
        <is>
          <t>Errors</t>
        </is>
      </c>
      <c r="C10" s="3" t="inlineStr">
        <is>
          <t>Error / loading / not-found states</t>
        </is>
      </c>
      <c r="D10" s="3" t="inlineStr">
        <is>
          <t>Any</t>
        </is>
      </c>
      <c r="E10" s="3" t="inlineStr"/>
      <c r="F10" s="3" t="inlineStr">
        <is>
          <t>Open bad URL; throttle network; stop API (local).</t>
        </is>
      </c>
      <c r="G10" s="3" t="inlineStr">
        <is>
          <t>Branded 404, loading skeletons, friendly error with retry.</t>
        </is>
      </c>
      <c r="H10" s="3" t="inlineStr">
        <is>
          <t>T00-05</t>
        </is>
      </c>
      <c r="I10" s="3" t="inlineStr">
        <is>
          <t>P2</t>
        </is>
      </c>
      <c r="J10" s="3" t="inlineStr">
        <is>
          <t>375 + 1440</t>
        </is>
      </c>
      <c r="K10" s="3" t="inlineStr">
        <is>
          <t>Not run</t>
        </is>
      </c>
      <c r="L10" s="3" t="inlineStr"/>
      <c r="M10" s="3" t="inlineStr"/>
      <c r="N10" s="3" t="inlineStr"/>
    </row>
    <row r="11">
      <c r="A11" s="3" t="inlineStr">
        <is>
          <t>X10</t>
        </is>
      </c>
      <c r="B11" s="3" t="inlineStr">
        <is>
          <t>Money</t>
        </is>
      </c>
      <c r="C11" s="3" t="inlineStr">
        <is>
          <t>Currency, VAT, rounding</t>
        </is>
      </c>
      <c r="D11" s="3" t="inlineStr">
        <is>
          <t>Customer</t>
        </is>
      </c>
      <c r="E11" s="3" t="inlineStr"/>
      <c r="F11" s="3" t="inlineStr">
        <is>
          <t>Check totals across PDP, cart, checkout, quote, receipt, refund.</t>
        </is>
      </c>
      <c r="G11" s="3" t="inlineStr">
        <is>
          <t>Same amount everywhere; kobo rounding consistent; USD only where enabled.</t>
        </is>
      </c>
      <c r="H11" s="3" t="inlineStr">
        <is>
          <t>TECH-05</t>
        </is>
      </c>
      <c r="I11" s="3" t="inlineStr">
        <is>
          <t>P0</t>
        </is>
      </c>
      <c r="J11" s="3" t="inlineStr">
        <is>
          <t>1440</t>
        </is>
      </c>
      <c r="K11" s="3" t="inlineStr">
        <is>
          <t>Not run</t>
        </is>
      </c>
      <c r="L11" s="3" t="inlineStr"/>
      <c r="M11" s="3" t="inlineStr"/>
      <c r="N11" s="3" t="inlineStr"/>
    </row>
    <row r="12">
      <c r="A12" s="3" t="inlineStr">
        <is>
          <t>X11</t>
        </is>
      </c>
      <c r="B12" s="3" t="inlineStr">
        <is>
          <t>Concurrency</t>
        </is>
      </c>
      <c r="C12" s="3" t="inlineStr">
        <is>
          <t>Double-click &amp; two tabs</t>
        </is>
      </c>
      <c r="D12" s="3" t="inlineStr">
        <is>
          <t>Guest</t>
        </is>
      </c>
      <c r="E12" s="3" t="inlineStr"/>
      <c r="F12" s="3" t="inlineStr">
        <is>
          <t>Double-click Pay / Accept / Approve / Submit; act in two tabs at once.</t>
        </is>
      </c>
      <c r="G12" s="3" t="inlineStr">
        <is>
          <t>One record and one payment; second tab gets version conflict message.</t>
        </is>
      </c>
      <c r="H12" s="3" t="inlineStr">
        <is>
          <t>T15-03</t>
        </is>
      </c>
      <c r="I12" s="3" t="inlineStr">
        <is>
          <t>P0</t>
        </is>
      </c>
      <c r="J12" s="3" t="inlineStr">
        <is>
          <t>1440</t>
        </is>
      </c>
      <c r="K12" s="3" t="inlineStr">
        <is>
          <t>Not run</t>
        </is>
      </c>
      <c r="L12" s="3" t="inlineStr"/>
      <c r="M12" s="3" t="inlineStr"/>
      <c r="N12" s="3" t="inlineStr"/>
    </row>
    <row r="13">
      <c r="A13" s="3" t="inlineStr">
        <is>
          <t>X12</t>
        </is>
      </c>
      <c r="B13" s="3" t="inlineStr">
        <is>
          <t>Branding</t>
        </is>
      </c>
      <c r="C13" s="3" t="inlineStr">
        <is>
          <t>Favicon &amp; meta</t>
        </is>
      </c>
      <c r="D13" s="3" t="inlineStr">
        <is>
          <t>Any</t>
        </is>
      </c>
      <c r="E13" s="3" t="inlineStr"/>
      <c r="F13" s="3" t="inlineStr">
        <is>
          <t>Check tab icon light/dark, apple-touch-icon, OG image share preview.</t>
        </is>
      </c>
      <c r="G13" s="3" t="inlineStr">
        <is>
          <t>Circular favicon on white; OG previews correct.</t>
        </is>
      </c>
      <c r="H13" s="3" t="inlineStr">
        <is>
          <t>PR #138</t>
        </is>
      </c>
      <c r="I13" s="3" t="inlineStr">
        <is>
          <t>P2</t>
        </is>
      </c>
      <c r="J13" s="3" t="inlineStr">
        <is>
          <t>1440</t>
        </is>
      </c>
      <c r="K13" s="3" t="inlineStr">
        <is>
          <t>Not run</t>
        </is>
      </c>
      <c r="L13" s="3" t="inlineStr"/>
      <c r="M13" s="3" t="inlineStr"/>
      <c r="N13" s="3" t="inlineStr"/>
    </row>
    <row r="14">
      <c r="A14" s="3" t="inlineStr">
        <is>
          <t>X13</t>
        </is>
      </c>
      <c r="B14" s="3" t="inlineStr">
        <is>
          <t>Performance</t>
        </is>
      </c>
      <c r="C14" s="3" t="inlineStr">
        <is>
          <t>Slow 3G feel</t>
        </is>
      </c>
      <c r="D14" s="3" t="inlineStr">
        <is>
          <t>Guest</t>
        </is>
      </c>
      <c r="E14" s="3" t="inlineStr">
        <is>
          <t>DevTools throttling</t>
        </is>
      </c>
      <c r="F14" s="3" t="inlineStr">
        <is>
          <t>Load home, PDP, configurator.</t>
        </is>
      </c>
      <c r="G14" s="3" t="inlineStr">
        <is>
          <t>Usable within a few seconds; images lazy load; no layout jump.</t>
        </is>
      </c>
      <c r="H14" s="3" t="inlineStr">
        <is>
          <t>T14-05 (TODO)</t>
        </is>
      </c>
      <c r="I14" s="3" t="inlineStr">
        <is>
          <t>P2</t>
        </is>
      </c>
      <c r="J14" s="3" t="inlineStr">
        <is>
          <t>375</t>
        </is>
      </c>
      <c r="K14" s="3" t="inlineStr">
        <is>
          <t>Not run</t>
        </is>
      </c>
      <c r="L14" s="3" t="inlineStr"/>
      <c r="M14" s="3" t="inlineStr"/>
      <c r="N14" s="3" t="inlineStr"/>
    </row>
  </sheetData>
  <autoFilter ref="A1:N14"/>
  <conditionalFormatting sqref="K2:K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K2:K14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2026-10-28T09:38:34Z</dcterms:created>
  <dcterms:modified xsi:type="dcterms:W3CDTF">2026-10-28T09:38:34Z</dcterms:modified>
</cp:coreProperties>
</file>